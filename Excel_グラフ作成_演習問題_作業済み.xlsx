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ikenoharuhiko/Desktop/　学習/"/>
    </mc:Choice>
  </mc:AlternateContent>
  <xr:revisionPtr revIDLastSave="0" documentId="8_{2BEC263B-C4F8-BE4E-992E-68C199721FA5}" xr6:coauthVersionLast="47" xr6:coauthVersionMax="47" xr10:uidLastSave="{00000000-0000-0000-0000-000000000000}"/>
  <bookViews>
    <workbookView xWindow="3760" yWindow="1100" windowWidth="27800" windowHeight="18020" tabRatio="500" activeTab="1" xr2:uid="{00000000-000D-0000-FFFF-FFFF00000000}"/>
  </bookViews>
  <sheets>
    <sheet name="目次" sheetId="1" r:id="rId1"/>
    <sheet name="問題1" sheetId="2" r:id="rId2"/>
    <sheet name="問題2" sheetId="3" r:id="rId3"/>
    <sheet name="問題3" sheetId="4" r:id="rId4"/>
    <sheet name="問題4" sheetId="5" r:id="rId5"/>
    <sheet name="問題5" sheetId="6" r:id="rId6"/>
    <sheet name="問題6" sheetId="7" r:id="rId7"/>
    <sheet name="問題7" sheetId="8" r:id="rId8"/>
    <sheet name="解答1" sheetId="9" r:id="rId9"/>
    <sheet name="解答2" sheetId="10" r:id="rId10"/>
    <sheet name="解答3" sheetId="11" r:id="rId11"/>
    <sheet name="解答4" sheetId="12" r:id="rId12"/>
    <sheet name="解答5" sheetId="13" r:id="rId13"/>
    <sheet name="解答6" sheetId="14" r:id="rId14"/>
    <sheet name="解答7" sheetId="15" r:id="rId15"/>
  </sheets>
  <definedNames>
    <definedName name="_xlchart.v1.0" hidden="1">問題1!$B$5:$B$10</definedName>
    <definedName name="_xlchart.v1.1" hidden="1">問題1!$C$5:$C$10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15" l="1"/>
  <c r="C19" i="15"/>
  <c r="C18" i="15"/>
  <c r="E10" i="14"/>
  <c r="E9" i="14"/>
  <c r="E8" i="14"/>
  <c r="E7" i="14"/>
  <c r="E6" i="14"/>
  <c r="E5" i="14"/>
  <c r="D10" i="11"/>
  <c r="D9" i="11"/>
  <c r="D8" i="11"/>
  <c r="D7" i="11"/>
  <c r="D6" i="11"/>
  <c r="D5" i="11"/>
  <c r="C11" i="9"/>
  <c r="C20" i="8"/>
  <c r="C19" i="8"/>
  <c r="C18" i="8"/>
  <c r="E10" i="7"/>
  <c r="E9" i="7"/>
  <c r="E8" i="7"/>
  <c r="E7" i="7"/>
  <c r="E6" i="7"/>
  <c r="E5" i="7"/>
  <c r="D10" i="4"/>
  <c r="D9" i="4"/>
  <c r="D8" i="4"/>
  <c r="D7" i="4"/>
  <c r="D6" i="4"/>
  <c r="D5" i="4"/>
  <c r="C11" i="2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<sst xmlns="http://schemas.openxmlformats.org/spreadsheetml/2006/main" count="334" uniqueCount="221">
  <si>
    <r>
      <rPr>
        <b/>
        <sz val="14"/>
        <color rgb="FF1F4E78"/>
        <rFont val="Meiryo"/>
        <family val="2"/>
        <charset val="128"/>
      </rPr>
      <t xml:space="preserve">Excel </t>
    </r>
    <r>
      <rPr>
        <b/>
        <sz val="14"/>
        <color rgb="FF1F4E78"/>
        <rFont val="Linux Libertine G"/>
        <family val="2"/>
      </rPr>
      <t>グラフ作成 演習問題</t>
    </r>
  </si>
  <si>
    <t>各「問題」シートのデータから自分でグラフを作成し、「解答」シートと見比べてください。</t>
  </si>
  <si>
    <t>No.</t>
  </si>
  <si>
    <t>グラフの種類</t>
  </si>
  <si>
    <t>テーマ</t>
  </si>
  <si>
    <t>難易度</t>
  </si>
  <si>
    <t>完了</t>
  </si>
  <si>
    <t>問題1</t>
  </si>
  <si>
    <t>集合縦棒グラフ</t>
  </si>
  <si>
    <t>支店別の売上を比較する</t>
  </si>
  <si>
    <t>★</t>
  </si>
  <si>
    <t>問題2</t>
  </si>
  <si>
    <t>折れ線グラフ</t>
  </si>
  <si>
    <r>
      <rPr>
        <sz val="10"/>
        <color rgb="FF000000"/>
        <rFont val="Linux Libertine G"/>
        <family val="2"/>
      </rPr>
      <t>月別売上の推移を見る</t>
    </r>
    <r>
      <rPr>
        <sz val="10"/>
        <color rgb="FF000000"/>
        <rFont val="Meiryo"/>
        <family val="2"/>
        <charset val="128"/>
      </rPr>
      <t>(2</t>
    </r>
    <r>
      <rPr>
        <sz val="10"/>
        <color rgb="FF000000"/>
        <rFont val="Linux Libertine G"/>
        <family val="2"/>
      </rPr>
      <t>系列</t>
    </r>
    <r>
      <rPr>
        <sz val="10"/>
        <color rgb="FF000000"/>
        <rFont val="Meiryo"/>
        <family val="2"/>
        <charset val="128"/>
      </rPr>
      <t>)</t>
    </r>
  </si>
  <si>
    <t>問題3</t>
  </si>
  <si>
    <t>円グラフ</t>
  </si>
  <si>
    <t>経費の構成比を示す</t>
  </si>
  <si>
    <t>問題4</t>
  </si>
  <si>
    <t>積み上げ縦棒グラフ</t>
  </si>
  <si>
    <t>四半期ごとの製品別内訳</t>
  </si>
  <si>
    <t>★★</t>
  </si>
  <si>
    <t>問題5</t>
  </si>
  <si>
    <r>
      <rPr>
        <sz val="10"/>
        <color rgb="FF000000"/>
        <rFont val="Linux Libertine G"/>
        <family val="2"/>
      </rPr>
      <t>横棒グラフ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並べ替え</t>
    </r>
    <r>
      <rPr>
        <sz val="10"/>
        <color rgb="FF000000"/>
        <rFont val="Meiryo"/>
        <family val="2"/>
        <charset val="128"/>
      </rPr>
      <t>)</t>
    </r>
  </si>
  <si>
    <t>商品売上ランキングを見やすく</t>
  </si>
  <si>
    <t>問題6</t>
  </si>
  <si>
    <r>
      <rPr>
        <sz val="10"/>
        <color rgb="FF000000"/>
        <rFont val="Linux Libertine G"/>
        <family val="2"/>
      </rPr>
      <t>複合グラフ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第</t>
    </r>
    <r>
      <rPr>
        <sz val="10"/>
        <color rgb="FF000000"/>
        <rFont val="Meiryo"/>
        <family val="2"/>
        <charset val="128"/>
      </rPr>
      <t>2</t>
    </r>
    <r>
      <rPr>
        <sz val="10"/>
        <color rgb="FF000000"/>
        <rFont val="Linux Libertine G"/>
        <family val="2"/>
      </rPr>
      <t>軸</t>
    </r>
    <r>
      <rPr>
        <sz val="10"/>
        <color rgb="FF000000"/>
        <rFont val="Meiryo"/>
        <family val="2"/>
        <charset val="128"/>
      </rPr>
      <t>)</t>
    </r>
  </si>
  <si>
    <r>
      <rPr>
        <sz val="10"/>
        <color rgb="FF000000"/>
        <rFont val="Linux Libertine G"/>
        <family val="2"/>
      </rPr>
      <t>売上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棒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と利益率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折れ線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を</t>
    </r>
    <r>
      <rPr>
        <sz val="10"/>
        <color rgb="FF000000"/>
        <rFont val="Meiryo"/>
        <family val="2"/>
        <charset val="128"/>
      </rPr>
      <t>1</t>
    </r>
    <r>
      <rPr>
        <sz val="10"/>
        <color rgb="FF000000"/>
        <rFont val="Linux Libertine G"/>
        <family val="2"/>
      </rPr>
      <t>つに</t>
    </r>
  </si>
  <si>
    <t>★★★</t>
  </si>
  <si>
    <t>問題7</t>
  </si>
  <si>
    <r>
      <rPr>
        <sz val="10"/>
        <color rgb="FF000000"/>
        <rFont val="Linux Libertine G"/>
        <family val="2"/>
      </rPr>
      <t>散布図</t>
    </r>
    <r>
      <rPr>
        <sz val="10"/>
        <color rgb="FF000000"/>
        <rFont val="Meiryo"/>
        <family val="2"/>
        <charset val="128"/>
      </rPr>
      <t>+</t>
    </r>
    <r>
      <rPr>
        <sz val="10"/>
        <color rgb="FF000000"/>
        <rFont val="Linux Libertine G"/>
        <family val="2"/>
      </rPr>
      <t>近似曲線</t>
    </r>
  </si>
  <si>
    <t>広告費と売上の関係を分析</t>
  </si>
  <si>
    <t>【使い方】</t>
  </si>
  <si>
    <r>
      <rPr>
        <sz val="10"/>
        <color rgb="FF000000"/>
        <rFont val="Meiryo"/>
        <family val="2"/>
        <charset val="128"/>
      </rPr>
      <t xml:space="preserve">1. </t>
    </r>
    <r>
      <rPr>
        <sz val="10"/>
        <color rgb="FF000000"/>
        <rFont val="Linux Libertine G"/>
        <family val="2"/>
      </rPr>
      <t>各「問題」シートの問題文を読み、表のデータを使ってグラフを作成します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グラフはデータの右側に配置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。</t>
    </r>
  </si>
  <si>
    <r>
      <rPr>
        <sz val="10"/>
        <color rgb="FF000000"/>
        <rFont val="Meiryo"/>
        <family val="2"/>
        <charset val="128"/>
      </rPr>
      <t xml:space="preserve">2. </t>
    </r>
    <r>
      <rPr>
        <sz val="10"/>
        <color rgb="FF000000"/>
        <rFont val="Linux Libertine G"/>
        <family val="2"/>
      </rPr>
      <t>困ったら【ヒント】の操作手順を参照してください。</t>
    </r>
  </si>
  <si>
    <r>
      <rPr>
        <sz val="10"/>
        <color rgb="FF000000"/>
        <rFont val="Meiryo"/>
        <family val="2"/>
        <charset val="128"/>
      </rPr>
      <t xml:space="preserve">3. </t>
    </r>
    <r>
      <rPr>
        <sz val="10"/>
        <color rgb="FF000000"/>
        <rFont val="Linux Libertine G"/>
        <family val="2"/>
      </rPr>
      <t>作成後、【セルフチェック】の各項目を確認し、黄色セルに ○ を入力します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目次の「完了」欄に反映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。</t>
    </r>
  </si>
  <si>
    <r>
      <rPr>
        <sz val="10"/>
        <color rgb="FF000000"/>
        <rFont val="Meiryo"/>
        <family val="2"/>
        <charset val="128"/>
      </rPr>
      <t xml:space="preserve">4. </t>
    </r>
    <r>
      <rPr>
        <sz val="10"/>
        <color rgb="FF000000"/>
        <rFont val="Linux Libertine G"/>
        <family val="2"/>
      </rPr>
      <t>「解答」シートに完成例があります。見た目の細部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色など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は一致しなくて</t>
    </r>
    <r>
      <rPr>
        <sz val="10"/>
        <color rgb="FF000000"/>
        <rFont val="Meiryo"/>
        <family val="2"/>
        <charset val="128"/>
      </rPr>
      <t>OK</t>
    </r>
    <r>
      <rPr>
        <sz val="10"/>
        <color rgb="FF000000"/>
        <rFont val="Linux Libertine G"/>
        <family val="2"/>
      </rPr>
      <t>です。</t>
    </r>
  </si>
  <si>
    <t>※ 青字の数値は入力データです。値を変えるとグラフが連動することも確認してみましょう。</t>
  </si>
  <si>
    <r>
      <rPr>
        <sz val="10"/>
        <color rgb="FF000000"/>
        <rFont val="Linux Libertine G"/>
        <family val="2"/>
      </rPr>
      <t>※ ショートカット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 xml:space="preserve">範囲選択して </t>
    </r>
    <r>
      <rPr>
        <sz val="10"/>
        <color rgb="FF000000"/>
        <rFont val="Meiryo"/>
        <family val="2"/>
        <charset val="128"/>
      </rPr>
      <t xml:space="preserve">Alt+F1 → </t>
    </r>
    <r>
      <rPr>
        <sz val="10"/>
        <color rgb="FF000000"/>
        <rFont val="Linux Libertine G"/>
        <family val="2"/>
      </rPr>
      <t xml:space="preserve">既定のグラフを同じシートに作成 </t>
    </r>
    <r>
      <rPr>
        <sz val="10"/>
        <color rgb="FF000000"/>
        <rFont val="Meiryo"/>
        <family val="2"/>
        <charset val="128"/>
      </rPr>
      <t xml:space="preserve">/ F11 → </t>
    </r>
    <r>
      <rPr>
        <sz val="10"/>
        <color rgb="FF000000"/>
        <rFont val="Linux Libertine G"/>
        <family val="2"/>
      </rPr>
      <t>新しいグラフシートに作成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</si>
  <si>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1 </t>
    </r>
    <r>
      <rPr>
        <b/>
        <sz val="14"/>
        <color rgb="FF1F4E78"/>
        <rFont val="Linux Libertine G"/>
        <family val="2"/>
      </rPr>
      <t>集合縦棒グラフ</t>
    </r>
  </si>
  <si>
    <t>難易度 ★</t>
  </si>
  <si>
    <t>支店</t>
  </si>
  <si>
    <r>
      <rPr>
        <b/>
        <sz val="10"/>
        <color rgb="FFFFFFFF"/>
        <rFont val="Linux Libertine G"/>
        <family val="2"/>
      </rPr>
      <t>売上</t>
    </r>
    <r>
      <rPr>
        <b/>
        <sz val="10"/>
        <color rgb="FFFFFFFF"/>
        <rFont val="Meiryo"/>
        <family val="2"/>
        <charset val="128"/>
      </rPr>
      <t>(</t>
    </r>
    <r>
      <rPr>
        <b/>
        <sz val="10"/>
        <color rgb="FFFFFFFF"/>
        <rFont val="Linux Libertine G"/>
        <family val="2"/>
      </rPr>
      <t>千円</t>
    </r>
    <r>
      <rPr>
        <b/>
        <sz val="10"/>
        <color rgb="FFFFFFFF"/>
        <rFont val="Meiryo"/>
        <family val="2"/>
        <charset val="128"/>
      </rPr>
      <t>)</t>
    </r>
  </si>
  <si>
    <t>札幌</t>
  </si>
  <si>
    <t>仙台</t>
  </si>
  <si>
    <t>東京</t>
  </si>
  <si>
    <t>名古屋</t>
  </si>
  <si>
    <t>大阪</t>
  </si>
  <si>
    <t>福岡</t>
  </si>
  <si>
    <t>合計</t>
  </si>
  <si>
    <t>【問題】</t>
  </si>
  <si>
    <r>
      <rPr>
        <sz val="10"/>
        <color rgb="FF000000"/>
        <rFont val="Meiryo"/>
        <family val="2"/>
        <charset val="128"/>
      </rPr>
      <t xml:space="preserve">B4:C10 </t>
    </r>
    <r>
      <rPr>
        <sz val="10"/>
        <color rgb="FF000000"/>
        <rFont val="Linux Libertine G"/>
        <family val="2"/>
      </rPr>
      <t>のデータ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合計行は含めない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から「集合縦棒グラフ」を作成しなさい。</t>
    </r>
  </si>
  <si>
    <r>
      <rPr>
        <sz val="10"/>
        <color rgb="FF000000"/>
        <rFont val="Linux Libertine G"/>
        <family val="2"/>
      </rPr>
      <t xml:space="preserve">  ・グラフタイトル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「支店別売上」</t>
    </r>
  </si>
  <si>
    <r>
      <rPr>
        <sz val="10"/>
        <color rgb="FF000000"/>
        <rFont val="Linux Libertine G"/>
        <family val="2"/>
      </rPr>
      <t xml:space="preserve">  ・縦軸ラベル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「売上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千円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」、横軸ラベル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「支店」</t>
    </r>
  </si>
  <si>
    <r>
      <rPr>
        <sz val="10"/>
        <color rgb="FF000000"/>
        <rFont val="Linux Libertine G"/>
        <family val="2"/>
      </rPr>
      <t xml:space="preserve">  ・凡例は非表示、各棒の上にデータラベル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値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を表示</t>
    </r>
  </si>
  <si>
    <r>
      <rPr>
        <b/>
        <sz val="11"/>
        <color rgb="FFC00000"/>
        <rFont val="Linux Libertine G"/>
        <family val="2"/>
      </rPr>
      <t>【ヒント</t>
    </r>
    <r>
      <rPr>
        <b/>
        <sz val="11"/>
        <color rgb="FFC00000"/>
        <rFont val="Meiryo"/>
        <family val="2"/>
        <charset val="128"/>
      </rPr>
      <t>(</t>
    </r>
    <r>
      <rPr>
        <b/>
        <sz val="11"/>
        <color rgb="FFC00000"/>
        <rFont val="Linux Libertine G"/>
        <family val="2"/>
      </rPr>
      <t>操作手順</t>
    </r>
    <r>
      <rPr>
        <b/>
        <sz val="11"/>
        <color rgb="FFC00000"/>
        <rFont val="Meiryo"/>
        <family val="2"/>
        <charset val="128"/>
      </rPr>
      <t>)</t>
    </r>
    <r>
      <rPr>
        <b/>
        <sz val="11"/>
        <color rgb="FFC00000"/>
        <rFont val="Linux Libertine G"/>
        <family val="2"/>
      </rPr>
      <t>】</t>
    </r>
  </si>
  <si>
    <r>
      <rPr>
        <sz val="9"/>
        <color rgb="FF595959"/>
        <rFont val="Meiryo"/>
        <family val="2"/>
        <charset val="128"/>
      </rPr>
      <t xml:space="preserve">B4:C10 </t>
    </r>
    <r>
      <rPr>
        <sz val="9"/>
        <color rgb="FF595959"/>
        <rFont val="Linux Libertine G"/>
        <family val="2"/>
      </rPr>
      <t xml:space="preserve">を選択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挿入</t>
    </r>
    <r>
      <rPr>
        <sz val="9"/>
        <color rgb="FF595959"/>
        <rFont val="Meiryo"/>
        <family val="2"/>
        <charset val="128"/>
      </rPr>
      <t>]</t>
    </r>
    <r>
      <rPr>
        <sz val="9"/>
        <color rgb="FF595959"/>
        <rFont val="Linux Libertine G"/>
        <family val="2"/>
      </rPr>
      <t xml:space="preserve">タブ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縦棒</t>
    </r>
    <r>
      <rPr>
        <sz val="9"/>
        <color rgb="FF595959"/>
        <rFont val="Meiryo"/>
        <family val="2"/>
        <charset val="128"/>
      </rPr>
      <t>/</t>
    </r>
    <r>
      <rPr>
        <sz val="9"/>
        <color rgb="FF595959"/>
        <rFont val="Linux Libertine G"/>
        <family val="2"/>
      </rPr>
      <t>横棒グラフの挿入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集合縦棒</t>
    </r>
    <r>
      <rPr>
        <sz val="9"/>
        <color rgb="FF595959"/>
        <rFont val="Meiryo"/>
        <family val="2"/>
        <charset val="128"/>
      </rPr>
      <t>]</t>
    </r>
  </si>
  <si>
    <t>タイトルや軸ラベルはクリックして文字を書き換える</t>
  </si>
  <si>
    <r>
      <rPr>
        <b/>
        <sz val="11"/>
        <color rgb="FF375623"/>
        <rFont val="Linux Libertine G"/>
        <family val="2"/>
      </rPr>
      <t xml:space="preserve">【セルフチェック】できたら </t>
    </r>
    <r>
      <rPr>
        <b/>
        <sz val="11"/>
        <color rgb="FF375623"/>
        <rFont val="Meiryo"/>
        <family val="2"/>
        <charset val="128"/>
      </rPr>
      <t>C</t>
    </r>
    <r>
      <rPr>
        <b/>
        <sz val="11"/>
        <color rgb="FF375623"/>
        <rFont val="Linux Libertine G"/>
        <family val="2"/>
      </rPr>
      <t>列に ○ を入力</t>
    </r>
  </si>
  <si>
    <t>合計行がグラフに含まれていない</t>
  </si>
  <si>
    <t>タイトル・軸ラベルが設定されている</t>
  </si>
  <si>
    <t>凡例が非表示で、データラベルが表示されている</t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</si>
  <si>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2 </t>
    </r>
    <r>
      <rPr>
        <b/>
        <sz val="14"/>
        <color rgb="FF1F4E78"/>
        <rFont val="Linux Libertine G"/>
        <family val="2"/>
      </rPr>
      <t>折れ線グラフ</t>
    </r>
  </si>
  <si>
    <t>月</t>
  </si>
  <si>
    <r>
      <rPr>
        <b/>
        <sz val="10"/>
        <color rgb="FFFFFFFF"/>
        <rFont val="Linux Libertine G"/>
        <family val="2"/>
      </rPr>
      <t>製品</t>
    </r>
    <r>
      <rPr>
        <b/>
        <sz val="10"/>
        <color rgb="FFFFFFFF"/>
        <rFont val="Meiryo"/>
        <family val="2"/>
        <charset val="128"/>
      </rPr>
      <t>A(</t>
    </r>
    <r>
      <rPr>
        <b/>
        <sz val="10"/>
        <color rgb="FFFFFFFF"/>
        <rFont val="Linux Libertine G"/>
        <family val="2"/>
      </rPr>
      <t>万円</t>
    </r>
    <r>
      <rPr>
        <b/>
        <sz val="10"/>
        <color rgb="FFFFFFFF"/>
        <rFont val="Meiryo"/>
        <family val="2"/>
        <charset val="128"/>
      </rPr>
      <t>)</t>
    </r>
  </si>
  <si>
    <r>
      <rPr>
        <b/>
        <sz val="10"/>
        <color rgb="FFFFFFFF"/>
        <rFont val="Linux Libertine G"/>
        <family val="2"/>
      </rPr>
      <t>製品</t>
    </r>
    <r>
      <rPr>
        <b/>
        <sz val="10"/>
        <color rgb="FFFFFFFF"/>
        <rFont val="Meiryo"/>
        <family val="2"/>
        <charset val="128"/>
      </rPr>
      <t>B(</t>
    </r>
    <r>
      <rPr>
        <b/>
        <sz val="10"/>
        <color rgb="FFFFFFFF"/>
        <rFont val="Linux Libertine G"/>
        <family val="2"/>
      </rPr>
      <t>万円</t>
    </r>
    <r>
      <rPr>
        <b/>
        <sz val="10"/>
        <color rgb="FFFFFFFF"/>
        <rFont val="Meiryo"/>
        <family val="2"/>
        <charset val="128"/>
      </rPr>
      <t>)</t>
    </r>
  </si>
  <si>
    <r>
      <rPr>
        <sz val="10"/>
        <color rgb="FF000000"/>
        <rFont val="Meiryo"/>
        <family val="2"/>
        <charset val="128"/>
      </rPr>
      <t>1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</si>
  <si>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2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</si>
  <si>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3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</si>
  <si>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4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</si>
  <si>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5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</si>
  <si>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6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</si>
  <si>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7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</si>
  <si>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8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</si>
  <si>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9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</si>
  <si>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10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</si>
  <si>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11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</si>
  <si>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12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</si>
  <si>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 xml:space="preserve">B4:D16 </t>
    </r>
    <r>
      <rPr>
        <sz val="10"/>
        <color rgb="FF000000"/>
        <rFont val="Linux Libertine G"/>
        <family val="2"/>
      </rPr>
      <t>のデータから「マーカー付き折れ線グラフ」を作成しなさい。</t>
    </r>
  </si>
  <si>
    <r>
      <rPr>
        <sz val="10"/>
        <color rgb="FF000000"/>
        <rFont val="Linux Libertine G"/>
        <family val="2"/>
      </rPr>
      <t xml:space="preserve">  ・グラフタイトル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「製品別 月次売上推移」</t>
    </r>
  </si>
  <si>
    <r>
      <rPr>
        <sz val="10"/>
        <color rgb="FF000000"/>
        <rFont val="Linux Libertine G"/>
        <family val="2"/>
      </rPr>
      <t xml:space="preserve">  ・縦軸ラベル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「売上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万円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」</t>
    </r>
  </si>
  <si>
    <t xml:space="preserve">  ・凡例をグラフの下に表示</t>
  </si>
  <si>
    <r>
      <rPr>
        <sz val="10"/>
        <color rgb="FF000000"/>
        <rFont val="Linux Libertine G"/>
        <family val="2"/>
      </rPr>
      <t xml:space="preserve">  ・縦軸の最小値を </t>
    </r>
    <r>
      <rPr>
        <sz val="10"/>
        <color rgb="FF000000"/>
        <rFont val="Meiryo"/>
        <family val="2"/>
        <charset val="128"/>
      </rPr>
      <t xml:space="preserve">50 </t>
    </r>
    <r>
      <rPr>
        <sz val="10"/>
        <color rgb="FF000000"/>
        <rFont val="Linux Libertine G"/>
        <family val="2"/>
      </rPr>
      <t>に変更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変化を見やすくする</t>
    </r>
    <r>
      <rPr>
        <sz val="10"/>
        <color rgb="FF000000"/>
        <rFont val="Meiryo"/>
        <family val="2"/>
        <charset val="128"/>
      </rPr>
      <t>)</t>
    </r>
  </si>
  <si>
    <r>
      <rPr>
        <sz val="9"/>
        <color rgb="FF595959"/>
        <rFont val="Meiryo"/>
        <family val="2"/>
        <charset val="128"/>
      </rPr>
      <t xml:space="preserve">B4:D16 </t>
    </r>
    <r>
      <rPr>
        <sz val="9"/>
        <color rgb="FF595959"/>
        <rFont val="Linux Libertine G"/>
        <family val="2"/>
      </rPr>
      <t xml:space="preserve">を選択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挿入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折れ線</t>
    </r>
    <r>
      <rPr>
        <sz val="9"/>
        <color rgb="FF595959"/>
        <rFont val="Meiryo"/>
        <family val="2"/>
        <charset val="128"/>
      </rPr>
      <t>/</t>
    </r>
    <r>
      <rPr>
        <sz val="9"/>
        <color rgb="FF595959"/>
        <rFont val="Linux Libertine G"/>
        <family val="2"/>
      </rPr>
      <t>面グラフの挿入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マーカー付き折れ線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</si>
  <si>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>凡例</t>
    </r>
    <r>
      <rPr>
        <sz val="9"/>
        <color rgb="FF595959"/>
        <rFont val="Meiryo"/>
        <family val="2"/>
        <charset val="128"/>
      </rPr>
      <t xml:space="preserve">:[+] → </t>
    </r>
    <r>
      <rPr>
        <sz val="9"/>
        <color rgb="FF595959"/>
        <rFont val="Linux Libertine G"/>
        <family val="2"/>
      </rPr>
      <t xml:space="preserve">凡例の右の▶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下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</si>
  <si>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 xml:space="preserve">縦軸を右クリック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軸の書式設定</t>
    </r>
    <r>
      <rPr>
        <sz val="9"/>
        <color rgb="FF595959"/>
        <rFont val="Meiryo"/>
        <family val="2"/>
        <charset val="128"/>
      </rPr>
      <t xml:space="preserve">] → </t>
    </r>
    <r>
      <rPr>
        <sz val="9"/>
        <color rgb="FF595959"/>
        <rFont val="Linux Libertine G"/>
        <family val="2"/>
      </rPr>
      <t xml:space="preserve">境界値「最小値」に </t>
    </r>
    <r>
      <rPr>
        <sz val="9"/>
        <color rgb="FF595959"/>
        <rFont val="Meiryo"/>
        <family val="2"/>
        <charset val="128"/>
      </rPr>
      <t xml:space="preserve">50 </t>
    </r>
    <r>
      <rPr>
        <sz val="9"/>
        <color rgb="FF595959"/>
        <rFont val="Linux Libertine G"/>
        <family val="2"/>
      </rPr>
      <t>を入力</t>
    </r>
  </si>
  <si>
    <r>
      <rPr>
        <sz val="10"/>
        <color rgb="FF000000"/>
        <rFont val="Meiryo"/>
        <family val="2"/>
        <charset val="128"/>
      </rPr>
      <t>2</t>
    </r>
    <r>
      <rPr>
        <sz val="10"/>
        <color rgb="FF000000"/>
        <rFont val="Linux Libertine G"/>
        <family val="2"/>
      </rPr>
      <t>本の折れ線とマーカーが表示されている</t>
    </r>
  </si>
  <si>
    <t>凡例が下にある</t>
  </si>
  <si>
    <r>
      <rPr>
        <sz val="10"/>
        <color rgb="FF000000"/>
        <rFont val="Linux Libertine G"/>
        <family val="2"/>
      </rPr>
      <t xml:space="preserve">縦軸が </t>
    </r>
    <r>
      <rPr>
        <sz val="10"/>
        <color rgb="FF000000"/>
        <rFont val="Meiryo"/>
        <family val="2"/>
        <charset val="128"/>
      </rPr>
      <t xml:space="preserve">50 </t>
    </r>
    <r>
      <rPr>
        <sz val="10"/>
        <color rgb="FF000000"/>
        <rFont val="Linux Libertine G"/>
        <family val="2"/>
      </rPr>
      <t>から始まっている</t>
    </r>
  </si>
  <si>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考察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製品</t>
    </r>
    <r>
      <rPr>
        <sz val="10"/>
        <color rgb="FF000000"/>
        <rFont val="Meiryo"/>
        <family val="2"/>
        <charset val="128"/>
      </rPr>
      <t>A</t>
    </r>
    <r>
      <rPr>
        <sz val="10"/>
        <color rgb="FF000000"/>
        <rFont val="Linux Libertine G"/>
        <family val="2"/>
      </rPr>
      <t>が最も売れた月は</t>
    </r>
    <r>
      <rPr>
        <sz val="10"/>
        <color rgb="FF000000"/>
        <rFont val="Meiryo"/>
        <family val="2"/>
        <charset val="128"/>
      </rPr>
      <t>? → 8</t>
    </r>
    <r>
      <rPr>
        <sz val="10"/>
        <color rgb="FF000000"/>
        <rFont val="Linux Libertine G"/>
        <family val="2"/>
      </rPr>
      <t>月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</si>
  <si>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3 </t>
    </r>
    <r>
      <rPr>
        <b/>
        <sz val="14"/>
        <color rgb="FF1F4E78"/>
        <rFont val="Linux Libertine G"/>
        <family val="2"/>
      </rPr>
      <t>円グラフ</t>
    </r>
  </si>
  <si>
    <t>費目</t>
  </si>
  <si>
    <r>
      <rPr>
        <b/>
        <sz val="10"/>
        <color rgb="FFFFFFFF"/>
        <rFont val="Linux Libertine G"/>
        <family val="2"/>
      </rPr>
      <t>金額</t>
    </r>
    <r>
      <rPr>
        <b/>
        <sz val="10"/>
        <color rgb="FFFFFFFF"/>
        <rFont val="Meiryo"/>
        <family val="2"/>
        <charset val="128"/>
      </rPr>
      <t>(</t>
    </r>
    <r>
      <rPr>
        <b/>
        <sz val="10"/>
        <color rgb="FFFFFFFF"/>
        <rFont val="Linux Libertine G"/>
        <family val="2"/>
      </rPr>
      <t>千円</t>
    </r>
    <r>
      <rPr>
        <b/>
        <sz val="10"/>
        <color rgb="FFFFFFFF"/>
        <rFont val="Meiryo"/>
        <family val="2"/>
        <charset val="128"/>
      </rPr>
      <t>)</t>
    </r>
  </si>
  <si>
    <t>構成比</t>
  </si>
  <si>
    <t>人件費</t>
  </si>
  <si>
    <t>家賃</t>
  </si>
  <si>
    <t>広告宣伝費</t>
  </si>
  <si>
    <t>水道光熱費</t>
  </si>
  <si>
    <t>通信費</t>
  </si>
  <si>
    <t>その他</t>
  </si>
  <si>
    <r>
      <rPr>
        <sz val="10"/>
        <color rgb="FF000000"/>
        <rFont val="Meiryo"/>
        <family val="2"/>
        <charset val="128"/>
      </rPr>
      <t xml:space="preserve">B4:C10 </t>
    </r>
    <r>
      <rPr>
        <sz val="10"/>
        <color rgb="FF000000"/>
        <rFont val="Linux Libertine G"/>
        <family val="2"/>
      </rPr>
      <t>のデータから「円グラフ」を作成しなさい。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 xml:space="preserve">構成比の列 </t>
    </r>
    <r>
      <rPr>
        <sz val="10"/>
        <color rgb="FF000000"/>
        <rFont val="Meiryo"/>
        <family val="2"/>
        <charset val="128"/>
      </rPr>
      <t xml:space="preserve">D </t>
    </r>
    <r>
      <rPr>
        <sz val="10"/>
        <color rgb="FF000000"/>
        <rFont val="Linux Libertine G"/>
        <family val="2"/>
      </rPr>
      <t>は使わない</t>
    </r>
    <r>
      <rPr>
        <sz val="10"/>
        <color rgb="FF000000"/>
        <rFont val="Meiryo"/>
        <family val="2"/>
        <charset val="128"/>
      </rPr>
      <t>)</t>
    </r>
  </si>
  <si>
    <r>
      <rPr>
        <sz val="10"/>
        <color rgb="FF000000"/>
        <rFont val="Linux Libertine G"/>
        <family val="2"/>
      </rPr>
      <t xml:space="preserve">  ・グラフタイトル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「経費の構成比」</t>
    </r>
  </si>
  <si>
    <t xml:space="preserve">  ・データラベルに「分類名」と「パーセンテージ」を表示し、値は表示しない</t>
  </si>
  <si>
    <t xml:space="preserve">  ・凡例は非表示</t>
  </si>
  <si>
    <r>
      <rPr>
        <sz val="10"/>
        <color rgb="FF000000"/>
        <rFont val="Meiryo"/>
        <family val="2"/>
        <charset val="128"/>
      </rPr>
      <t xml:space="preserve">  (</t>
    </r>
    <r>
      <rPr>
        <sz val="10"/>
        <color rgb="FF000000"/>
        <rFont val="Linux Libertine G"/>
        <family val="2"/>
      </rPr>
      <t>発展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最大の要素「人件費」を少し切り離して強調してみよう</t>
    </r>
  </si>
  <si>
    <r>
      <rPr>
        <sz val="9"/>
        <color rgb="FF595959"/>
        <rFont val="Meiryo"/>
        <family val="2"/>
        <charset val="128"/>
      </rPr>
      <t xml:space="preserve">B4:C10 </t>
    </r>
    <r>
      <rPr>
        <sz val="9"/>
        <color rgb="FF595959"/>
        <rFont val="Linux Libertine G"/>
        <family val="2"/>
      </rPr>
      <t xml:space="preserve">を選択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挿入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円またはドーナツグラフの挿入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円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</si>
  <si>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 xml:space="preserve">データラベルを右クリック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データラベルの書式設定</t>
    </r>
    <r>
      <rPr>
        <sz val="9"/>
        <color rgb="FF595959"/>
        <rFont val="Meiryo"/>
        <family val="2"/>
        <charset val="128"/>
      </rPr>
      <t xml:space="preserve">] → </t>
    </r>
    <r>
      <rPr>
        <sz val="9"/>
        <color rgb="FF595959"/>
        <rFont val="Linux Libertine G"/>
        <family val="2"/>
      </rPr>
      <t>分類名・パーセンテージにチェック、値のチェックを外す</t>
    </r>
  </si>
  <si>
    <r>
      <rPr>
        <sz val="9"/>
        <color rgb="FF595959"/>
        <rFont val="Linux Libertine G"/>
        <family val="2"/>
      </rPr>
      <t>切り離し</t>
    </r>
    <r>
      <rPr>
        <sz val="9"/>
        <color rgb="FF595959"/>
        <rFont val="Meiryo"/>
        <family val="2"/>
        <charset val="128"/>
      </rPr>
      <t>:</t>
    </r>
    <r>
      <rPr>
        <sz val="9"/>
        <color rgb="FF595959"/>
        <rFont val="Linux Libertine G"/>
        <family val="2"/>
      </rPr>
      <t>人件費の扇形だけをゆっくり</t>
    </r>
    <r>
      <rPr>
        <sz val="9"/>
        <color rgb="FF595959"/>
        <rFont val="Meiryo"/>
        <family val="2"/>
        <charset val="128"/>
      </rPr>
      <t>2</t>
    </r>
    <r>
      <rPr>
        <sz val="9"/>
        <color rgb="FF595959"/>
        <rFont val="Linux Libertine G"/>
        <family val="2"/>
      </rPr>
      <t>回クリックして選択 → 外側へドラッグ</t>
    </r>
  </si>
  <si>
    <r>
      <rPr>
        <sz val="9"/>
        <color rgb="FF595959"/>
        <rFont val="Meiryo"/>
        <family val="2"/>
        <charset val="128"/>
      </rPr>
      <t>D</t>
    </r>
    <r>
      <rPr>
        <sz val="9"/>
        <color rgb="FF595959"/>
        <rFont val="Linux Libertine G"/>
        <family val="2"/>
      </rPr>
      <t>列の構成比の計算式</t>
    </r>
    <r>
      <rPr>
        <sz val="9"/>
        <color rgb="FF595959"/>
        <rFont val="Meiryo"/>
        <family val="2"/>
        <charset val="128"/>
      </rPr>
      <t>(=C5/SUM($C$5:$C$10))</t>
    </r>
    <r>
      <rPr>
        <sz val="9"/>
        <color rgb="FF595959"/>
        <rFont val="Linux Libertine G"/>
        <family val="2"/>
      </rPr>
      <t>も確認しよう。絶対参照がポイント</t>
    </r>
  </si>
  <si>
    <r>
      <rPr>
        <sz val="10"/>
        <color rgb="FF000000"/>
        <rFont val="Linux Libertine G"/>
        <family val="2"/>
      </rPr>
      <t>分類名と</t>
    </r>
    <r>
      <rPr>
        <sz val="10"/>
        <color rgb="FF000000"/>
        <rFont val="Meiryo"/>
        <family val="2"/>
        <charset val="128"/>
      </rPr>
      <t>%</t>
    </r>
    <r>
      <rPr>
        <sz val="10"/>
        <color rgb="FF000000"/>
        <rFont val="Linux Libertine G"/>
        <family val="2"/>
      </rPr>
      <t>がラベルに出ている</t>
    </r>
  </si>
  <si>
    <t>凡例が非表示</t>
  </si>
  <si>
    <r>
      <rPr>
        <sz val="10"/>
        <color rgb="FF000000"/>
        <rFont val="Linux Libertine G"/>
        <family val="2"/>
      </rPr>
      <t>ラベルの</t>
    </r>
    <r>
      <rPr>
        <sz val="10"/>
        <color rgb="FF000000"/>
        <rFont val="Meiryo"/>
        <family val="2"/>
        <charset val="128"/>
      </rPr>
      <t>%</t>
    </r>
    <r>
      <rPr>
        <sz val="10"/>
        <color rgb="FF000000"/>
        <rFont val="Linux Libertine G"/>
        <family val="2"/>
      </rPr>
      <t>と</t>
    </r>
    <r>
      <rPr>
        <sz val="10"/>
        <color rgb="FF000000"/>
        <rFont val="Meiryo"/>
        <family val="2"/>
        <charset val="128"/>
      </rPr>
      <t>D</t>
    </r>
    <r>
      <rPr>
        <sz val="10"/>
        <color rgb="FF000000"/>
        <rFont val="Linux Libertine G"/>
        <family val="2"/>
      </rPr>
      <t>列の構成比が一致している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</si>
  <si>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4 </t>
    </r>
    <r>
      <rPr>
        <b/>
        <sz val="14"/>
        <color rgb="FF1F4E78"/>
        <rFont val="Linux Libertine G"/>
        <family val="2"/>
      </rPr>
      <t>積み上げ縦棒グラフ</t>
    </r>
  </si>
  <si>
    <t>難易度 ★★</t>
  </si>
  <si>
    <t>四半期</t>
  </si>
  <si>
    <t>食品</t>
  </si>
  <si>
    <t>日用品</t>
  </si>
  <si>
    <t>衣料</t>
  </si>
  <si>
    <t>家電</t>
  </si>
  <si>
    <r>
      <rPr>
        <sz val="10"/>
        <color rgb="FF000000"/>
        <rFont val="Linux Libertine G"/>
        <family val="2"/>
      </rPr>
      <t>第</t>
    </r>
    <r>
      <rPr>
        <sz val="10"/>
        <color rgb="FF000000"/>
        <rFont val="Meiryo"/>
        <family val="2"/>
        <charset val="128"/>
      </rPr>
      <t>1</t>
    </r>
    <r>
      <rPr>
        <sz val="10"/>
        <color rgb="FF000000"/>
        <rFont val="Linux Libertine G"/>
        <family val="2"/>
      </rPr>
      <t>四半期</t>
    </r>
  </si>
  <si>
    <r>
      <rPr>
        <sz val="10"/>
        <color rgb="FF000000"/>
        <rFont val="Linux Libertine G"/>
        <family val="2"/>
      </rPr>
      <t>第</t>
    </r>
    <r>
      <rPr>
        <sz val="10"/>
        <color rgb="FF000000"/>
        <rFont val="Meiryo"/>
        <family val="2"/>
        <charset val="128"/>
      </rPr>
      <t>2</t>
    </r>
    <r>
      <rPr>
        <sz val="10"/>
        <color rgb="FF000000"/>
        <rFont val="Linux Libertine G"/>
        <family val="2"/>
      </rPr>
      <t>四半期</t>
    </r>
  </si>
  <si>
    <r>
      <rPr>
        <sz val="10"/>
        <color rgb="FF000000"/>
        <rFont val="Linux Libertine G"/>
        <family val="2"/>
      </rPr>
      <t>第</t>
    </r>
    <r>
      <rPr>
        <sz val="10"/>
        <color rgb="FF000000"/>
        <rFont val="Meiryo"/>
        <family val="2"/>
        <charset val="128"/>
      </rPr>
      <t>3</t>
    </r>
    <r>
      <rPr>
        <sz val="10"/>
        <color rgb="FF000000"/>
        <rFont val="Linux Libertine G"/>
        <family val="2"/>
      </rPr>
      <t>四半期</t>
    </r>
  </si>
  <si>
    <r>
      <rPr>
        <sz val="10"/>
        <color rgb="FF000000"/>
        <rFont val="Linux Libertine G"/>
        <family val="2"/>
      </rPr>
      <t>第</t>
    </r>
    <r>
      <rPr>
        <sz val="10"/>
        <color rgb="FF000000"/>
        <rFont val="Meiryo"/>
        <family val="2"/>
        <charset val="128"/>
      </rPr>
      <t>4</t>
    </r>
    <r>
      <rPr>
        <sz val="10"/>
        <color rgb="FF000000"/>
        <rFont val="Linux Libertine G"/>
        <family val="2"/>
      </rPr>
      <t>四半期</t>
    </r>
  </si>
  <si>
    <r>
      <rPr>
        <sz val="10"/>
        <color rgb="FF000000"/>
        <rFont val="Meiryo"/>
        <family val="2"/>
        <charset val="128"/>
      </rPr>
      <t xml:space="preserve">B4:F8 </t>
    </r>
    <r>
      <rPr>
        <sz val="10"/>
        <color rgb="FF000000"/>
        <rFont val="Linux Libertine G"/>
        <family val="2"/>
      </rPr>
      <t>のデータから「積み上げ縦棒グラフ」を作成しなさい。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単位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百万円</t>
    </r>
    <r>
      <rPr>
        <sz val="10"/>
        <color rgb="FF000000"/>
        <rFont val="Meiryo"/>
        <family val="2"/>
        <charset val="128"/>
      </rPr>
      <t>)</t>
    </r>
  </si>
  <si>
    <r>
      <rPr>
        <sz val="10"/>
        <color rgb="FF000000"/>
        <rFont val="Linux Libertine G"/>
        <family val="2"/>
      </rPr>
      <t xml:space="preserve">  ・横軸が四半期、積み上げの要素が部門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食品・日用品・衣料・家電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になるようにする</t>
    </r>
  </si>
  <si>
    <r>
      <rPr>
        <sz val="10"/>
        <color rgb="FF000000"/>
        <rFont val="Linux Libertine G"/>
        <family val="2"/>
      </rPr>
      <t xml:space="preserve">  ・グラフタイトル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「四半期別 部門売上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百万円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」</t>
    </r>
  </si>
  <si>
    <r>
      <rPr>
        <sz val="10"/>
        <color rgb="FF000000"/>
        <rFont val="Linux Libertine G"/>
        <family val="2"/>
      </rPr>
      <t xml:space="preserve">  ・棒の間隔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要素の間隔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 xml:space="preserve">を </t>
    </r>
    <r>
      <rPr>
        <sz val="10"/>
        <color rgb="FF000000"/>
        <rFont val="Meiryo"/>
        <family val="2"/>
        <charset val="128"/>
      </rPr>
      <t xml:space="preserve">60% </t>
    </r>
    <r>
      <rPr>
        <sz val="10"/>
        <color rgb="FF000000"/>
        <rFont val="Linux Libertine G"/>
        <family val="2"/>
      </rPr>
      <t>にして棒を太くする</t>
    </r>
  </si>
  <si>
    <r>
      <rPr>
        <sz val="10"/>
        <color rgb="FF000000"/>
        <rFont val="Meiryo"/>
        <family val="2"/>
        <charset val="128"/>
      </rPr>
      <t xml:space="preserve">  (</t>
    </r>
    <r>
      <rPr>
        <sz val="10"/>
        <color rgb="FF000000"/>
        <rFont val="Linux Libertine G"/>
        <family val="2"/>
      </rPr>
      <t>発展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同じデータで「</t>
    </r>
    <r>
      <rPr>
        <sz val="10"/>
        <color rgb="FF000000"/>
        <rFont val="Meiryo"/>
        <family val="2"/>
        <charset val="128"/>
      </rPr>
      <t>100%</t>
    </r>
    <r>
      <rPr>
        <sz val="10"/>
        <color rgb="FF000000"/>
        <rFont val="Linux Libertine G"/>
        <family val="2"/>
      </rPr>
      <t>積み上げ縦棒」も作り、構成比の変化を比べよう</t>
    </r>
  </si>
  <si>
    <r>
      <rPr>
        <sz val="9"/>
        <color rgb="FF595959"/>
        <rFont val="Meiryo"/>
        <family val="2"/>
        <charset val="128"/>
      </rPr>
      <t xml:space="preserve">B4:F8 </t>
    </r>
    <r>
      <rPr>
        <sz val="9"/>
        <color rgb="FF595959"/>
        <rFont val="Linux Libertine G"/>
        <family val="2"/>
      </rPr>
      <t xml:space="preserve">を選択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挿入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縦棒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積み上げ縦棒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</si>
  <si>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>横軸が部門になってしまったら</t>
    </r>
    <r>
      <rPr>
        <sz val="9"/>
        <color rgb="FF595959"/>
        <rFont val="Meiryo"/>
        <family val="2"/>
        <charset val="128"/>
      </rPr>
      <t>:</t>
    </r>
    <r>
      <rPr>
        <sz val="9"/>
        <color rgb="FF595959"/>
        <rFont val="Linux Libertine G"/>
        <family val="2"/>
      </rPr>
      <t xml:space="preserve">グラフ選択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グラフのデザイン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行</t>
    </r>
    <r>
      <rPr>
        <sz val="9"/>
        <color rgb="FF595959"/>
        <rFont val="Meiryo"/>
        <family val="2"/>
        <charset val="128"/>
      </rPr>
      <t>/</t>
    </r>
    <r>
      <rPr>
        <sz val="9"/>
        <color rgb="FF595959"/>
        <rFont val="Linux Libertine G"/>
        <family val="2"/>
      </rPr>
      <t>列の切り替え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</si>
  <si>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 xml:space="preserve">棒を右クリック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データ系列の書式設定</t>
    </r>
    <r>
      <rPr>
        <sz val="9"/>
        <color rgb="FF595959"/>
        <rFont val="Meiryo"/>
        <family val="2"/>
        <charset val="128"/>
      </rPr>
      <t xml:space="preserve">] → </t>
    </r>
    <r>
      <rPr>
        <sz val="9"/>
        <color rgb="FF595959"/>
        <rFont val="Linux Libertine G"/>
        <family val="2"/>
      </rPr>
      <t xml:space="preserve">「要素の間隔」を </t>
    </r>
    <r>
      <rPr>
        <sz val="9"/>
        <color rgb="FF595959"/>
        <rFont val="Meiryo"/>
        <family val="2"/>
        <charset val="128"/>
      </rPr>
      <t>60%</t>
    </r>
  </si>
  <si>
    <t>横軸が四半期になっている</t>
  </si>
  <si>
    <r>
      <rPr>
        <sz val="10"/>
        <color rgb="FF000000"/>
        <rFont val="Linux Libertine G"/>
        <family val="2"/>
      </rPr>
      <t>凡例に</t>
    </r>
    <r>
      <rPr>
        <sz val="10"/>
        <color rgb="FF000000"/>
        <rFont val="Meiryo"/>
        <family val="2"/>
        <charset val="128"/>
      </rPr>
      <t>4</t>
    </r>
    <r>
      <rPr>
        <sz val="10"/>
        <color rgb="FF000000"/>
        <rFont val="Linux Libertine G"/>
        <family val="2"/>
      </rPr>
      <t>部門が出ている</t>
    </r>
  </si>
  <si>
    <t>棒が太くなっている</t>
  </si>
  <si>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考察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合計売上が最も大きい四半期は</t>
    </r>
    <r>
      <rPr>
        <sz val="10"/>
        <color rgb="FF000000"/>
        <rFont val="Meiryo"/>
        <family val="2"/>
        <charset val="128"/>
      </rPr>
      <t xml:space="preserve">? → </t>
    </r>
    <r>
      <rPr>
        <sz val="10"/>
        <color rgb="FF000000"/>
        <rFont val="Linux Libertine G"/>
        <family val="2"/>
      </rPr>
      <t>第</t>
    </r>
    <r>
      <rPr>
        <sz val="10"/>
        <color rgb="FF000000"/>
        <rFont val="Meiryo"/>
        <family val="2"/>
        <charset val="128"/>
      </rPr>
      <t>4</t>
    </r>
    <r>
      <rPr>
        <sz val="10"/>
        <color rgb="FF000000"/>
        <rFont val="Linux Libertine G"/>
        <family val="2"/>
      </rPr>
      <t>四半期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</si>
  <si>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5 </t>
    </r>
    <r>
      <rPr>
        <b/>
        <sz val="14"/>
        <color rgb="FF1F4E78"/>
        <rFont val="Linux Libertine G"/>
        <family val="2"/>
      </rPr>
      <t>横棒グラフ</t>
    </r>
    <r>
      <rPr>
        <b/>
        <sz val="14"/>
        <color rgb="FF1F4E78"/>
        <rFont val="Meiryo"/>
        <family val="2"/>
        <charset val="128"/>
      </rPr>
      <t>(</t>
    </r>
    <r>
      <rPr>
        <b/>
        <sz val="14"/>
        <color rgb="FF1F4E78"/>
        <rFont val="Linux Libertine G"/>
        <family val="2"/>
      </rPr>
      <t>並べ替え</t>
    </r>
    <r>
      <rPr>
        <b/>
        <sz val="14"/>
        <color rgb="FF1F4E78"/>
        <rFont val="Meiryo"/>
        <family val="2"/>
        <charset val="128"/>
      </rPr>
      <t>)</t>
    </r>
  </si>
  <si>
    <t>商品</t>
  </si>
  <si>
    <t>売上個数</t>
  </si>
  <si>
    <t>ボールペン</t>
  </si>
  <si>
    <t>ノート</t>
  </si>
  <si>
    <t>付箋</t>
  </si>
  <si>
    <t>ファイル</t>
  </si>
  <si>
    <t>ハサミ</t>
  </si>
  <si>
    <t>のり</t>
  </si>
  <si>
    <t>消しゴム</t>
  </si>
  <si>
    <t>マーカー</t>
  </si>
  <si>
    <r>
      <rPr>
        <sz val="10"/>
        <color rgb="FF000000"/>
        <rFont val="Meiryo"/>
        <family val="2"/>
        <charset val="128"/>
      </rPr>
      <t xml:space="preserve">B4:C12 </t>
    </r>
    <r>
      <rPr>
        <sz val="10"/>
        <color rgb="FF000000"/>
        <rFont val="Linux Libertine G"/>
        <family val="2"/>
      </rPr>
      <t>のデータから、売上個数が多い商品ほど上に来る「集合横棒グラフ」を作成しなさい。</t>
    </r>
  </si>
  <si>
    <r>
      <rPr>
        <sz val="10"/>
        <color rgb="FF000000"/>
        <rFont val="Linux Libertine G"/>
        <family val="2"/>
      </rPr>
      <t xml:space="preserve">  ・グラフタイトル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「商品別 売上個数ランキング」</t>
    </r>
  </si>
  <si>
    <r>
      <rPr>
        <sz val="10"/>
        <color rgb="FF000000"/>
        <rFont val="Linux Libertine G"/>
        <family val="2"/>
      </rPr>
      <t xml:space="preserve">  ・凡例は非表示、データラベル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値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を表示</t>
    </r>
  </si>
  <si>
    <t xml:space="preserve">  ・一番上が「ノート」、一番下が「ハサミ」になっていれば正解</t>
  </si>
  <si>
    <r>
      <rPr>
        <sz val="9"/>
        <color rgb="FF595959"/>
        <rFont val="Meiryo"/>
        <family val="2"/>
        <charset val="128"/>
      </rPr>
      <t xml:space="preserve">B4:C12 </t>
    </r>
    <r>
      <rPr>
        <sz val="9"/>
        <color rgb="FF595959"/>
        <rFont val="Linux Libertine G"/>
        <family val="2"/>
      </rPr>
      <t xml:space="preserve">を選択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挿入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横棒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集合横棒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</si>
  <si>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>そのままだと表の上の行がグラフの下に来る</t>
    </r>
    <r>
      <rPr>
        <sz val="9"/>
        <color rgb="FF595959"/>
        <rFont val="Meiryo"/>
        <family val="2"/>
        <charset val="128"/>
      </rPr>
      <t>(</t>
    </r>
    <r>
      <rPr>
        <sz val="9"/>
        <color rgb="FF595959"/>
        <rFont val="Linux Libertine G"/>
        <family val="2"/>
      </rPr>
      <t>横棒の特徴</t>
    </r>
    <r>
      <rPr>
        <sz val="9"/>
        <color rgb="FF595959"/>
        <rFont val="Meiryo"/>
        <family val="2"/>
        <charset val="128"/>
      </rPr>
      <t>)</t>
    </r>
  </si>
  <si>
    <r>
      <rPr>
        <sz val="9"/>
        <color rgb="FF595959"/>
        <rFont val="Linux Libertine G"/>
        <family val="2"/>
      </rPr>
      <t>方法①</t>
    </r>
    <r>
      <rPr>
        <sz val="9"/>
        <color rgb="FF595959"/>
        <rFont val="Meiryo"/>
        <family val="2"/>
        <charset val="128"/>
      </rPr>
      <t>:</t>
    </r>
    <r>
      <rPr>
        <sz val="9"/>
        <color rgb="FF595959"/>
        <rFont val="Linux Libertine G"/>
        <family val="2"/>
      </rPr>
      <t>データを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データ</t>
    </r>
    <r>
      <rPr>
        <sz val="9"/>
        <color rgb="FF595959"/>
        <rFont val="Meiryo"/>
        <family val="2"/>
        <charset val="128"/>
      </rPr>
      <t>]→[</t>
    </r>
    <r>
      <rPr>
        <sz val="9"/>
        <color rgb="FF595959"/>
        <rFont val="Linux Libertine G"/>
        <family val="2"/>
      </rPr>
      <t>並べ替え</t>
    </r>
    <r>
      <rPr>
        <sz val="9"/>
        <color rgb="FF595959"/>
        <rFont val="Meiryo"/>
        <family val="2"/>
        <charset val="128"/>
      </rPr>
      <t>]</t>
    </r>
    <r>
      <rPr>
        <sz val="9"/>
        <color rgb="FF595959"/>
        <rFont val="Linux Libertine G"/>
        <family val="2"/>
      </rPr>
      <t>で売上個数の『昇順』にする</t>
    </r>
  </si>
  <si>
    <r>
      <rPr>
        <sz val="9"/>
        <color rgb="FF595959"/>
        <rFont val="Linux Libertine G"/>
        <family val="2"/>
      </rPr>
      <t>方法②</t>
    </r>
    <r>
      <rPr>
        <sz val="9"/>
        <color rgb="FF595959"/>
        <rFont val="Meiryo"/>
        <family val="2"/>
        <charset val="128"/>
      </rPr>
      <t>:</t>
    </r>
    <r>
      <rPr>
        <sz val="9"/>
        <color rgb="FF595959"/>
        <rFont val="Linux Libertine G"/>
        <family val="2"/>
      </rPr>
      <t xml:space="preserve">縦軸を右クリック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軸の書式設定</t>
    </r>
    <r>
      <rPr>
        <sz val="9"/>
        <color rgb="FF595959"/>
        <rFont val="Meiryo"/>
        <family val="2"/>
        <charset val="128"/>
      </rPr>
      <t xml:space="preserve">] → </t>
    </r>
    <r>
      <rPr>
        <sz val="9"/>
        <color rgb="FF595959"/>
        <rFont val="Linux Libertine G"/>
        <family val="2"/>
      </rPr>
      <t>「軸を反転する」にチェック</t>
    </r>
    <r>
      <rPr>
        <sz val="9"/>
        <color rgb="FF595959"/>
        <rFont val="Meiryo"/>
        <family val="2"/>
        <charset val="128"/>
      </rPr>
      <t>(+</t>
    </r>
    <r>
      <rPr>
        <sz val="9"/>
        <color rgb="FF595959"/>
        <rFont val="Linux Libertine G"/>
        <family val="2"/>
      </rPr>
      <t>データは降順</t>
    </r>
    <r>
      <rPr>
        <sz val="9"/>
        <color rgb="FF595959"/>
        <rFont val="Meiryo"/>
        <family val="2"/>
        <charset val="128"/>
      </rPr>
      <t>)</t>
    </r>
  </si>
  <si>
    <r>
      <rPr>
        <sz val="10"/>
        <color rgb="FF000000"/>
        <rFont val="Linux Libertine G"/>
        <family val="2"/>
      </rPr>
      <t>一番上がノート</t>
    </r>
    <r>
      <rPr>
        <sz val="10"/>
        <color rgb="FF000000"/>
        <rFont val="Meiryo"/>
        <family val="2"/>
        <charset val="128"/>
      </rPr>
      <t>(1,340)</t>
    </r>
    <r>
      <rPr>
        <sz val="10"/>
        <color rgb="FF000000"/>
        <rFont val="Linux Libertine G"/>
        <family val="2"/>
      </rPr>
      <t>になっている</t>
    </r>
  </si>
  <si>
    <t>凡例が非表示でデータラベルがある</t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</si>
  <si>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6 </t>
    </r>
    <r>
      <rPr>
        <b/>
        <sz val="14"/>
        <color rgb="FF1F4E78"/>
        <rFont val="Linux Libertine G"/>
        <family val="2"/>
      </rPr>
      <t>複合グラフ</t>
    </r>
    <r>
      <rPr>
        <b/>
        <sz val="14"/>
        <color rgb="FF1F4E78"/>
        <rFont val="Meiryo"/>
        <family val="2"/>
        <charset val="128"/>
      </rPr>
      <t>(</t>
    </r>
    <r>
      <rPr>
        <b/>
        <sz val="14"/>
        <color rgb="FF1F4E78"/>
        <rFont val="Linux Libertine G"/>
        <family val="2"/>
      </rPr>
      <t>第</t>
    </r>
    <r>
      <rPr>
        <b/>
        <sz val="14"/>
        <color rgb="FF1F4E78"/>
        <rFont val="Meiryo"/>
        <family val="2"/>
        <charset val="128"/>
      </rPr>
      <t>2</t>
    </r>
    <r>
      <rPr>
        <b/>
        <sz val="14"/>
        <color rgb="FF1F4E78"/>
        <rFont val="Linux Libertine G"/>
        <family val="2"/>
      </rPr>
      <t>軸</t>
    </r>
    <r>
      <rPr>
        <b/>
        <sz val="14"/>
        <color rgb="FF1F4E78"/>
        <rFont val="Meiryo"/>
        <family val="2"/>
        <charset val="128"/>
      </rPr>
      <t>)</t>
    </r>
  </si>
  <si>
    <t>難易度 ★★★</t>
  </si>
  <si>
    <t>年度</t>
  </si>
  <si>
    <r>
      <rPr>
        <b/>
        <sz val="10"/>
        <color rgb="FFFFFFFF"/>
        <rFont val="Linux Libertine G"/>
        <family val="2"/>
      </rPr>
      <t>売上高</t>
    </r>
    <r>
      <rPr>
        <b/>
        <sz val="10"/>
        <color rgb="FFFFFFFF"/>
        <rFont val="Meiryo"/>
        <family val="2"/>
        <charset val="128"/>
      </rPr>
      <t>(</t>
    </r>
    <r>
      <rPr>
        <b/>
        <sz val="10"/>
        <color rgb="FFFFFFFF"/>
        <rFont val="Linux Libertine G"/>
        <family val="2"/>
      </rPr>
      <t>百万円</t>
    </r>
    <r>
      <rPr>
        <b/>
        <sz val="10"/>
        <color rgb="FFFFFFFF"/>
        <rFont val="Meiryo"/>
        <family val="2"/>
        <charset val="128"/>
      </rPr>
      <t>)</t>
    </r>
  </si>
  <si>
    <r>
      <rPr>
        <b/>
        <sz val="10"/>
        <color rgb="FFFFFFFF"/>
        <rFont val="Linux Libertine G"/>
        <family val="2"/>
      </rPr>
      <t>営業利益</t>
    </r>
    <r>
      <rPr>
        <b/>
        <sz val="10"/>
        <color rgb="FFFFFFFF"/>
        <rFont val="Meiryo"/>
        <family val="2"/>
        <charset val="128"/>
      </rPr>
      <t>(</t>
    </r>
    <r>
      <rPr>
        <b/>
        <sz val="10"/>
        <color rgb="FFFFFFFF"/>
        <rFont val="Linux Libertine G"/>
        <family val="2"/>
      </rPr>
      <t>百万円</t>
    </r>
    <r>
      <rPr>
        <b/>
        <sz val="10"/>
        <color rgb="FFFFFFFF"/>
        <rFont val="Meiryo"/>
        <family val="2"/>
        <charset val="128"/>
      </rPr>
      <t>)</t>
    </r>
  </si>
  <si>
    <t>営業利益率</t>
  </si>
  <si>
    <t>2020</t>
  </si>
  <si>
    <t>2021</t>
  </si>
  <si>
    <t>2022</t>
  </si>
  <si>
    <t>2023</t>
  </si>
  <si>
    <t>2024</t>
  </si>
  <si>
    <t>2025</t>
  </si>
  <si>
    <r>
      <rPr>
        <sz val="10"/>
        <color rgb="FF000000"/>
        <rFont val="Linux Libertine G"/>
        <family val="2"/>
      </rPr>
      <t>売上高</t>
    </r>
    <r>
      <rPr>
        <sz val="10"/>
        <color rgb="FF000000"/>
        <rFont val="Meiryo"/>
        <family val="2"/>
        <charset val="128"/>
      </rPr>
      <t>(C</t>
    </r>
    <r>
      <rPr>
        <sz val="10"/>
        <color rgb="FF000000"/>
        <rFont val="Linux Libertine G"/>
        <family val="2"/>
      </rPr>
      <t>列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を「集合縦棒」、営業利益率</t>
    </r>
    <r>
      <rPr>
        <sz val="10"/>
        <color rgb="FF000000"/>
        <rFont val="Meiryo"/>
        <family val="2"/>
        <charset val="128"/>
      </rPr>
      <t>(E</t>
    </r>
    <r>
      <rPr>
        <sz val="10"/>
        <color rgb="FF000000"/>
        <rFont val="Linux Libertine G"/>
        <family val="2"/>
      </rPr>
      <t>列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を「マーカー付き折れ線」で表す複合グラフを作成しなさい。</t>
    </r>
  </si>
  <si>
    <r>
      <rPr>
        <sz val="10"/>
        <color rgb="FF000000"/>
        <rFont val="Linux Libertine G"/>
        <family val="2"/>
      </rPr>
      <t xml:space="preserve">  ・営業利益率は第</t>
    </r>
    <r>
      <rPr>
        <sz val="10"/>
        <color rgb="FF000000"/>
        <rFont val="Meiryo"/>
        <family val="2"/>
        <charset val="128"/>
      </rPr>
      <t>2</t>
    </r>
    <r>
      <rPr>
        <sz val="10"/>
        <color rgb="FF000000"/>
        <rFont val="Linux Libertine G"/>
        <family val="2"/>
      </rPr>
      <t>軸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右側の縦軸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に表示する</t>
    </r>
  </si>
  <si>
    <r>
      <rPr>
        <sz val="10"/>
        <color rgb="FF000000"/>
        <rFont val="Linux Libertine G"/>
        <family val="2"/>
      </rPr>
      <t xml:space="preserve">  ・グラフタイトル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「売上高と営業利益率の推移」</t>
    </r>
  </si>
  <si>
    <r>
      <rPr>
        <sz val="10"/>
        <color rgb="FF000000"/>
        <rFont val="Linux Libertine G"/>
        <family val="2"/>
      </rPr>
      <t xml:space="preserve">  ・左軸ラベル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「売上高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百万円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」、右軸ラベル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「営業利益率」</t>
    </r>
  </si>
  <si>
    <r>
      <rPr>
        <sz val="10"/>
        <color rgb="FF000000"/>
        <rFont val="Linux Libertine G"/>
        <family val="2"/>
      </rPr>
      <t xml:space="preserve">  ・営業利益</t>
    </r>
    <r>
      <rPr>
        <sz val="10"/>
        <color rgb="FF000000"/>
        <rFont val="Meiryo"/>
        <family val="2"/>
        <charset val="128"/>
      </rPr>
      <t>(D</t>
    </r>
    <r>
      <rPr>
        <sz val="10"/>
        <color rgb="FF000000"/>
        <rFont val="Linux Libertine G"/>
        <family val="2"/>
      </rPr>
      <t>列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はグラフに含めない</t>
    </r>
  </si>
  <si>
    <r>
      <rPr>
        <sz val="10"/>
        <color rgb="FF000000"/>
        <rFont val="Meiryo"/>
        <family val="2"/>
        <charset val="128"/>
      </rPr>
      <t xml:space="preserve">  ※ E</t>
    </r>
    <r>
      <rPr>
        <sz val="10"/>
        <color rgb="FF000000"/>
        <rFont val="Linux Libertine G"/>
        <family val="2"/>
      </rPr>
      <t>列の営業利益率は数式です。まず式の中身を確認しよう</t>
    </r>
  </si>
  <si>
    <r>
      <rPr>
        <sz val="9"/>
        <color rgb="FF595959"/>
        <rFont val="Meiryo"/>
        <family val="2"/>
        <charset val="128"/>
      </rPr>
      <t xml:space="preserve">B4:C10 </t>
    </r>
    <r>
      <rPr>
        <sz val="9"/>
        <color rgb="FF595959"/>
        <rFont val="Linux Libertine G"/>
        <family val="2"/>
      </rPr>
      <t xml:space="preserve">を選択 → </t>
    </r>
    <r>
      <rPr>
        <sz val="9"/>
        <color rgb="FF595959"/>
        <rFont val="Meiryo"/>
        <family val="2"/>
        <charset val="128"/>
      </rPr>
      <t>Ctrl</t>
    </r>
    <r>
      <rPr>
        <sz val="9"/>
        <color rgb="FF595959"/>
        <rFont val="Linux Libertine G"/>
        <family val="2"/>
      </rPr>
      <t xml:space="preserve">キーを押しながら </t>
    </r>
    <r>
      <rPr>
        <sz val="9"/>
        <color rgb="FF595959"/>
        <rFont val="Meiryo"/>
        <family val="2"/>
        <charset val="128"/>
      </rPr>
      <t xml:space="preserve">E4:E10 </t>
    </r>
    <r>
      <rPr>
        <sz val="9"/>
        <color rgb="FF595959"/>
        <rFont val="Linux Libertine G"/>
        <family val="2"/>
      </rPr>
      <t>を選択</t>
    </r>
    <r>
      <rPr>
        <sz val="9"/>
        <color rgb="FF595959"/>
        <rFont val="Meiryo"/>
        <family val="2"/>
        <charset val="128"/>
      </rPr>
      <t>(</t>
    </r>
    <r>
      <rPr>
        <sz val="9"/>
        <color rgb="FF595959"/>
        <rFont val="Linux Libertine G"/>
        <family val="2"/>
      </rPr>
      <t>離れた範囲の同時選択</t>
    </r>
    <r>
      <rPr>
        <sz val="9"/>
        <color rgb="FF595959"/>
        <rFont val="Meiryo"/>
        <family val="2"/>
        <charset val="128"/>
      </rPr>
      <t>)</t>
    </r>
  </si>
  <si>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挿入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複合グラフの挿入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ユーザー設定の複合グラフを作成する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</si>
  <si>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>売上高</t>
    </r>
    <r>
      <rPr>
        <sz val="9"/>
        <color rgb="FF595959"/>
        <rFont val="Meiryo"/>
        <family val="2"/>
        <charset val="128"/>
      </rPr>
      <t>=</t>
    </r>
    <r>
      <rPr>
        <sz val="9"/>
        <color rgb="FF595959"/>
        <rFont val="Linux Libertine G"/>
        <family val="2"/>
      </rPr>
      <t>集合縦棒、営業利益率</t>
    </r>
    <r>
      <rPr>
        <sz val="9"/>
        <color rgb="FF595959"/>
        <rFont val="Meiryo"/>
        <family val="2"/>
        <charset val="128"/>
      </rPr>
      <t>=</t>
    </r>
    <r>
      <rPr>
        <sz val="9"/>
        <color rgb="FF595959"/>
        <rFont val="Linux Libertine G"/>
        <family val="2"/>
      </rPr>
      <t>マーカー付き折れ線 にして「第</t>
    </r>
    <r>
      <rPr>
        <sz val="9"/>
        <color rgb="FF595959"/>
        <rFont val="Meiryo"/>
        <family val="2"/>
        <charset val="128"/>
      </rPr>
      <t>2</t>
    </r>
    <r>
      <rPr>
        <sz val="9"/>
        <color rgb="FF595959"/>
        <rFont val="Linux Libertine G"/>
        <family val="2"/>
      </rPr>
      <t>軸」にチェック</t>
    </r>
  </si>
  <si>
    <t>年度が数値だと系列扱いされることがある → ここでは年度を文字列で入力済み</t>
  </si>
  <si>
    <r>
      <rPr>
        <sz val="10"/>
        <color rgb="FF000000"/>
        <rFont val="Linux Libertine G"/>
        <family val="2"/>
      </rPr>
      <t>棒と折れ線が</t>
    </r>
    <r>
      <rPr>
        <sz val="10"/>
        <color rgb="FF000000"/>
        <rFont val="Meiryo"/>
        <family val="2"/>
        <charset val="128"/>
      </rPr>
      <t>1</t>
    </r>
    <r>
      <rPr>
        <sz val="10"/>
        <color rgb="FF000000"/>
        <rFont val="Linux Libertine G"/>
        <family val="2"/>
      </rPr>
      <t>つのグラフにある</t>
    </r>
  </si>
  <si>
    <r>
      <rPr>
        <sz val="10"/>
        <color rgb="FF000000"/>
        <rFont val="Linux Libertine G"/>
        <family val="2"/>
      </rPr>
      <t>右側に</t>
    </r>
    <r>
      <rPr>
        <sz val="10"/>
        <color rgb="FF000000"/>
        <rFont val="Meiryo"/>
        <family val="2"/>
        <charset val="128"/>
      </rPr>
      <t>%</t>
    </r>
    <r>
      <rPr>
        <sz val="10"/>
        <color rgb="FF000000"/>
        <rFont val="Linux Libertine G"/>
        <family val="2"/>
      </rPr>
      <t>の軸がある</t>
    </r>
  </si>
  <si>
    <t>営業利益が含まれていない</t>
  </si>
  <si>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考察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営業利益率が下がった年度は</t>
    </r>
    <r>
      <rPr>
        <sz val="10"/>
        <color rgb="FF000000"/>
        <rFont val="Meiryo"/>
        <family val="2"/>
        <charset val="128"/>
      </rPr>
      <t>? → 2022</t>
    </r>
    <r>
      <rPr>
        <sz val="10"/>
        <color rgb="FF000000"/>
        <rFont val="Linux Libertine G"/>
        <family val="2"/>
      </rPr>
      <t>年度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</si>
  <si>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7 </t>
    </r>
    <r>
      <rPr>
        <b/>
        <sz val="14"/>
        <color rgb="FF1F4E78"/>
        <rFont val="Linux Libertine G"/>
        <family val="2"/>
      </rPr>
      <t>散布図</t>
    </r>
    <r>
      <rPr>
        <b/>
        <sz val="14"/>
        <color rgb="FF1F4E78"/>
        <rFont val="Meiryo"/>
        <family val="2"/>
        <charset val="128"/>
      </rPr>
      <t>+</t>
    </r>
    <r>
      <rPr>
        <b/>
        <sz val="14"/>
        <color rgb="FF1F4E78"/>
        <rFont val="Linux Libertine G"/>
        <family val="2"/>
      </rPr>
      <t>近似曲線</t>
    </r>
  </si>
  <si>
    <t>店舗</t>
  </si>
  <si>
    <r>
      <rPr>
        <b/>
        <sz val="10"/>
        <color rgb="FFFFFFFF"/>
        <rFont val="Linux Libertine G"/>
        <family val="2"/>
      </rPr>
      <t>広告費</t>
    </r>
    <r>
      <rPr>
        <b/>
        <sz val="10"/>
        <color rgb="FFFFFFFF"/>
        <rFont val="Meiryo"/>
        <family val="2"/>
        <charset val="128"/>
      </rPr>
      <t>(</t>
    </r>
    <r>
      <rPr>
        <b/>
        <sz val="10"/>
        <color rgb="FFFFFFFF"/>
        <rFont val="Linux Libertine G"/>
        <family val="2"/>
      </rPr>
      <t>万円</t>
    </r>
    <r>
      <rPr>
        <b/>
        <sz val="10"/>
        <color rgb="FFFFFFFF"/>
        <rFont val="Meiryo"/>
        <family val="2"/>
        <charset val="128"/>
      </rPr>
      <t>)</t>
    </r>
  </si>
  <si>
    <r>
      <rPr>
        <b/>
        <sz val="10"/>
        <color rgb="FFFFFFFF"/>
        <rFont val="Linux Libertine G"/>
        <family val="2"/>
      </rPr>
      <t>売上</t>
    </r>
    <r>
      <rPr>
        <b/>
        <sz val="10"/>
        <color rgb="FFFFFFFF"/>
        <rFont val="Meiryo"/>
        <family val="2"/>
        <charset val="128"/>
      </rPr>
      <t>(</t>
    </r>
    <r>
      <rPr>
        <b/>
        <sz val="10"/>
        <color rgb="FFFFFFFF"/>
        <rFont val="Linux Libertine G"/>
        <family val="2"/>
      </rPr>
      <t>万円</t>
    </r>
    <r>
      <rPr>
        <b/>
        <sz val="10"/>
        <color rgb="FFFFFFFF"/>
        <rFont val="Meiryo"/>
        <family val="2"/>
        <charset val="128"/>
      </rPr>
      <t>)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</si>
  <si>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01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</si>
  <si>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02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</si>
  <si>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03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</si>
  <si>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04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</si>
  <si>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05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</si>
  <si>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06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</si>
  <si>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07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</si>
  <si>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08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</si>
  <si>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09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</si>
  <si>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10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</si>
  <si>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11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</si>
  <si>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12</t>
    </r>
  </si>
  <si>
    <t>相関係数</t>
  </si>
  <si>
    <t>傾き</t>
  </si>
  <si>
    <t>切片</t>
  </si>
  <si>
    <r>
      <rPr>
        <sz val="10"/>
        <color rgb="FF000000"/>
        <rFont val="Linux Libertine G"/>
        <family val="2"/>
      </rPr>
      <t>広告費</t>
    </r>
    <r>
      <rPr>
        <sz val="10"/>
        <color rgb="FF000000"/>
        <rFont val="Meiryo"/>
        <family val="2"/>
        <charset val="128"/>
      </rPr>
      <t>(C</t>
    </r>
    <r>
      <rPr>
        <sz val="10"/>
        <color rgb="FF000000"/>
        <rFont val="Linux Libertine G"/>
        <family val="2"/>
      </rPr>
      <t>列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を横軸、売上</t>
    </r>
    <r>
      <rPr>
        <sz val="10"/>
        <color rgb="FF000000"/>
        <rFont val="Meiryo"/>
        <family val="2"/>
        <charset val="128"/>
      </rPr>
      <t>(D</t>
    </r>
    <r>
      <rPr>
        <sz val="10"/>
        <color rgb="FF000000"/>
        <rFont val="Linux Libertine G"/>
        <family val="2"/>
      </rPr>
      <t>列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を縦軸にした「散布図」を作成しなさい。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 xml:space="preserve">店舗名 </t>
    </r>
    <r>
      <rPr>
        <sz val="10"/>
        <color rgb="FF000000"/>
        <rFont val="Meiryo"/>
        <family val="2"/>
        <charset val="128"/>
      </rPr>
      <t>B</t>
    </r>
    <r>
      <rPr>
        <sz val="10"/>
        <color rgb="FF000000"/>
        <rFont val="Linux Libertine G"/>
        <family val="2"/>
      </rPr>
      <t>列は使わない</t>
    </r>
    <r>
      <rPr>
        <sz val="10"/>
        <color rgb="FF000000"/>
        <rFont val="Meiryo"/>
        <family val="2"/>
        <charset val="128"/>
      </rPr>
      <t>)</t>
    </r>
  </si>
  <si>
    <r>
      <rPr>
        <sz val="10"/>
        <color rgb="FF000000"/>
        <rFont val="Linux Libertine G"/>
        <family val="2"/>
      </rPr>
      <t xml:space="preserve">  ・グラフタイトル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「広告費と売上の関係」、横軸ラベル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「広告費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万円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」、縦軸ラベル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「売上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万円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」</t>
    </r>
  </si>
  <si>
    <r>
      <rPr>
        <sz val="10"/>
        <color rgb="FF000000"/>
        <rFont val="Linux Libertine G"/>
        <family val="2"/>
      </rPr>
      <t xml:space="preserve">  ・線形近似曲線を追加し、「数式」と「</t>
    </r>
    <r>
      <rPr>
        <sz val="10"/>
        <color rgb="FF000000"/>
        <rFont val="Meiryo"/>
        <family val="2"/>
        <charset val="128"/>
      </rPr>
      <t>R-2</t>
    </r>
    <r>
      <rPr>
        <sz val="10"/>
        <color rgb="FF000000"/>
        <rFont val="Linux Libertine G"/>
        <family val="2"/>
      </rPr>
      <t>乗値」をグラフに表示する</t>
    </r>
  </si>
  <si>
    <r>
      <rPr>
        <sz val="10"/>
        <color rgb="FF000000"/>
        <rFont val="Linux Libertine G"/>
        <family val="2"/>
      </rPr>
      <t xml:space="preserve">  ・グラフの数式の傾き・切片が、</t>
    </r>
    <r>
      <rPr>
        <sz val="10"/>
        <color rgb="FF000000"/>
        <rFont val="Meiryo"/>
        <family val="2"/>
        <charset val="128"/>
      </rPr>
      <t>C19</t>
    </r>
    <r>
      <rPr>
        <sz val="10"/>
        <color rgb="FF000000"/>
        <rFont val="Linux Libertine G"/>
        <family val="2"/>
      </rPr>
      <t>・</t>
    </r>
    <r>
      <rPr>
        <sz val="10"/>
        <color rgb="FF000000"/>
        <rFont val="Meiryo"/>
        <family val="2"/>
        <charset val="128"/>
      </rPr>
      <t xml:space="preserve">C20 </t>
    </r>
    <r>
      <rPr>
        <sz val="10"/>
        <color rgb="FF000000"/>
        <rFont val="Linux Libertine G"/>
        <family val="2"/>
      </rPr>
      <t>の関数の結果と一致することを確認する</t>
    </r>
  </si>
  <si>
    <r>
      <rPr>
        <sz val="9"/>
        <color rgb="FF595959"/>
        <rFont val="Meiryo"/>
        <family val="2"/>
        <charset val="128"/>
      </rPr>
      <t xml:space="preserve">C4:D16 </t>
    </r>
    <r>
      <rPr>
        <sz val="9"/>
        <color rgb="FF595959"/>
        <rFont val="Linux Libertine G"/>
        <family val="2"/>
      </rPr>
      <t xml:space="preserve">を選択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挿入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散布図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散布図</t>
    </r>
    <r>
      <rPr>
        <sz val="9"/>
        <color rgb="FF595959"/>
        <rFont val="Meiryo"/>
        <family val="2"/>
        <charset val="128"/>
      </rPr>
      <t>](</t>
    </r>
    <r>
      <rPr>
        <sz val="9"/>
        <color rgb="FF595959"/>
        <rFont val="Linux Libertine G"/>
        <family val="2"/>
      </rPr>
      <t>マーカーのみ</t>
    </r>
    <r>
      <rPr>
        <sz val="9"/>
        <color rgb="FF595959"/>
        <rFont val="Meiryo"/>
        <family val="2"/>
        <charset val="128"/>
      </rPr>
      <t>)</t>
    </r>
  </si>
  <si>
    <r>
      <rPr>
        <sz val="9"/>
        <color rgb="FF595959"/>
        <rFont val="Linux Libertine G"/>
        <family val="2"/>
      </rPr>
      <t xml:space="preserve">点を右クリック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近似曲線の追加</t>
    </r>
    <r>
      <rPr>
        <sz val="9"/>
        <color rgb="FF595959"/>
        <rFont val="Meiryo"/>
        <family val="2"/>
        <charset val="128"/>
      </rPr>
      <t xml:space="preserve">] → </t>
    </r>
    <r>
      <rPr>
        <sz val="9"/>
        <color rgb="FF595959"/>
        <rFont val="Linux Libertine G"/>
        <family val="2"/>
      </rPr>
      <t>「線形近似」、下の「グラフに数式を表示する」「</t>
    </r>
    <r>
      <rPr>
        <sz val="9"/>
        <color rgb="FF595959"/>
        <rFont val="Meiryo"/>
        <family val="2"/>
        <charset val="128"/>
      </rPr>
      <t>R-2</t>
    </r>
    <r>
      <rPr>
        <sz val="9"/>
        <color rgb="FF595959"/>
        <rFont val="Linux Libertine G"/>
        <family val="2"/>
      </rPr>
      <t>乗値を表示する」にチェック</t>
    </r>
  </si>
  <si>
    <r>
      <rPr>
        <sz val="9"/>
        <color rgb="FF595959"/>
        <rFont val="Linux Libertine G"/>
        <family val="2"/>
      </rPr>
      <t xml:space="preserve">散布図では左の列が自動的に </t>
    </r>
    <r>
      <rPr>
        <sz val="9"/>
        <color rgb="FF595959"/>
        <rFont val="Meiryo"/>
        <family val="2"/>
        <charset val="128"/>
      </rPr>
      <t>X(</t>
    </r>
    <r>
      <rPr>
        <sz val="9"/>
        <color rgb="FF595959"/>
        <rFont val="Linux Libertine G"/>
        <family val="2"/>
      </rPr>
      <t>横軸</t>
    </r>
    <r>
      <rPr>
        <sz val="9"/>
        <color rgb="FF595959"/>
        <rFont val="Meiryo"/>
        <family val="2"/>
        <charset val="128"/>
      </rPr>
      <t>)</t>
    </r>
    <r>
      <rPr>
        <sz val="9"/>
        <color rgb="FF595959"/>
        <rFont val="Linux Libertine G"/>
        <family val="2"/>
      </rPr>
      <t>になる</t>
    </r>
  </si>
  <si>
    <r>
      <rPr>
        <sz val="9"/>
        <color rgb="FF595959"/>
        <rFont val="Meiryo"/>
        <family val="2"/>
        <charset val="128"/>
      </rPr>
      <t>CORREL=</t>
    </r>
    <r>
      <rPr>
        <sz val="9"/>
        <color rgb="FF595959"/>
        <rFont val="Linux Libertine G"/>
        <family val="2"/>
      </rPr>
      <t>相関係数</t>
    </r>
    <r>
      <rPr>
        <sz val="9"/>
        <color rgb="FF595959"/>
        <rFont val="Meiryo"/>
        <family val="2"/>
        <charset val="128"/>
      </rPr>
      <t>(1</t>
    </r>
    <r>
      <rPr>
        <sz val="9"/>
        <color rgb="FF595959"/>
        <rFont val="Linux Libertine G"/>
        <family val="2"/>
      </rPr>
      <t>に近いほど強い正の相関</t>
    </r>
    <r>
      <rPr>
        <sz val="9"/>
        <color rgb="FF595959"/>
        <rFont val="Meiryo"/>
        <family val="2"/>
        <charset val="128"/>
      </rPr>
      <t>)</t>
    </r>
    <r>
      <rPr>
        <sz val="9"/>
        <color rgb="FF595959"/>
        <rFont val="Linux Libertine G"/>
        <family val="2"/>
      </rPr>
      <t>、</t>
    </r>
    <r>
      <rPr>
        <sz val="9"/>
        <color rgb="FF595959"/>
        <rFont val="Meiryo"/>
        <family val="2"/>
        <charset val="128"/>
      </rPr>
      <t>R-2</t>
    </r>
    <r>
      <rPr>
        <sz val="9"/>
        <color rgb="FF595959"/>
        <rFont val="Linux Libertine G"/>
        <family val="2"/>
      </rPr>
      <t>乗値</t>
    </r>
    <r>
      <rPr>
        <sz val="9"/>
        <color rgb="FF595959"/>
        <rFont val="Meiryo"/>
        <family val="2"/>
        <charset val="128"/>
      </rPr>
      <t>=</t>
    </r>
    <r>
      <rPr>
        <sz val="9"/>
        <color rgb="FF595959"/>
        <rFont val="Linux Libertine G"/>
        <family val="2"/>
      </rPr>
      <t>相関係数の</t>
    </r>
    <r>
      <rPr>
        <sz val="9"/>
        <color rgb="FF595959"/>
        <rFont val="Meiryo"/>
        <family val="2"/>
        <charset val="128"/>
      </rPr>
      <t>2</t>
    </r>
    <r>
      <rPr>
        <sz val="9"/>
        <color rgb="FF595959"/>
        <rFont val="Linux Libertine G"/>
        <family val="2"/>
      </rPr>
      <t>乗</t>
    </r>
  </si>
  <si>
    <t>点だけが表示され、線でつながっていない</t>
  </si>
  <si>
    <r>
      <rPr>
        <sz val="10"/>
        <color rgb="FF000000"/>
        <rFont val="Linux Libertine G"/>
        <family val="2"/>
      </rPr>
      <t>近似直線と数式・</t>
    </r>
    <r>
      <rPr>
        <sz val="10"/>
        <color rgb="FF000000"/>
        <rFont val="Meiryo"/>
        <family val="2"/>
        <charset val="128"/>
      </rPr>
      <t>R²</t>
    </r>
    <r>
      <rPr>
        <sz val="10"/>
        <color rgb="FF000000"/>
        <rFont val="Linux Libertine G"/>
        <family val="2"/>
      </rPr>
      <t>が表示されている</t>
    </r>
  </si>
  <si>
    <r>
      <rPr>
        <sz val="10"/>
        <color rgb="FF000000"/>
        <rFont val="Linux Libertine G"/>
        <family val="2"/>
      </rPr>
      <t>数式の傾き・切片が</t>
    </r>
    <r>
      <rPr>
        <sz val="10"/>
        <color rgb="FF000000"/>
        <rFont val="Meiryo"/>
        <family val="2"/>
        <charset val="128"/>
      </rPr>
      <t>C19</t>
    </r>
    <r>
      <rPr>
        <sz val="10"/>
        <color rgb="FF000000"/>
        <rFont val="Linux Libertine G"/>
        <family val="2"/>
      </rPr>
      <t>・</t>
    </r>
    <r>
      <rPr>
        <sz val="10"/>
        <color rgb="FF000000"/>
        <rFont val="Meiryo"/>
        <family val="2"/>
        <charset val="128"/>
      </rPr>
      <t>C20</t>
    </r>
    <r>
      <rPr>
        <sz val="10"/>
        <color rgb="FF000000"/>
        <rFont val="Linux Libertine G"/>
        <family val="2"/>
      </rPr>
      <t>と一致</t>
    </r>
  </si>
  <si>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考察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広告費</t>
    </r>
    <r>
      <rPr>
        <sz val="10"/>
        <color rgb="FF000000"/>
        <rFont val="Meiryo"/>
        <family val="2"/>
        <charset val="128"/>
      </rPr>
      <t>70</t>
    </r>
    <r>
      <rPr>
        <sz val="10"/>
        <color rgb="FF000000"/>
        <rFont val="Linux Libertine G"/>
        <family val="2"/>
      </rPr>
      <t>万円のときの予測売上は</t>
    </r>
    <r>
      <rPr>
        <sz val="10"/>
        <color rgb="FF000000"/>
        <rFont val="Meiryo"/>
        <family val="2"/>
        <charset val="128"/>
      </rPr>
      <t xml:space="preserve">? → </t>
    </r>
    <r>
      <rPr>
        <sz val="10"/>
        <color rgb="FF000000"/>
        <rFont val="Linux Libertine G"/>
        <family val="2"/>
      </rPr>
      <t>約</t>
    </r>
    <r>
      <rPr>
        <sz val="10"/>
        <color rgb="FF000000"/>
        <rFont val="Meiryo"/>
        <family val="2"/>
        <charset val="128"/>
      </rPr>
      <t>570</t>
    </r>
    <r>
      <rPr>
        <sz val="10"/>
        <color rgb="FF000000"/>
        <rFont val="Linux Libertine G"/>
        <family val="2"/>
      </rPr>
      <t>万円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</si>
  <si>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1 </t>
    </r>
    <r>
      <rPr>
        <b/>
        <sz val="14"/>
        <color rgb="FF1F4E78"/>
        <rFont val="Linux Libertine G"/>
        <family val="2"/>
      </rPr>
      <t>集合縦棒グラフ【解答】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</si>
  <si>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2 </t>
    </r>
    <r>
      <rPr>
        <b/>
        <sz val="14"/>
        <color rgb="FF1F4E78"/>
        <rFont val="Linux Libertine G"/>
        <family val="2"/>
      </rPr>
      <t>折れ線グラフ【解答】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</si>
  <si>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3 </t>
    </r>
    <r>
      <rPr>
        <b/>
        <sz val="14"/>
        <color rgb="FF1F4E78"/>
        <rFont val="Linux Libertine G"/>
        <family val="2"/>
      </rPr>
      <t>円グラフ【解答】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</si>
  <si>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4 </t>
    </r>
    <r>
      <rPr>
        <b/>
        <sz val="14"/>
        <color rgb="FF1F4E78"/>
        <rFont val="Linux Libertine G"/>
        <family val="2"/>
      </rPr>
      <t>積み上げ縦棒グラフ【解答】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</si>
  <si>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5 </t>
    </r>
    <r>
      <rPr>
        <b/>
        <sz val="14"/>
        <color rgb="FF1F4E78"/>
        <rFont val="Linux Libertine G"/>
        <family val="2"/>
      </rPr>
      <t>横棒グラフ</t>
    </r>
    <r>
      <rPr>
        <b/>
        <sz val="14"/>
        <color rgb="FF1F4E78"/>
        <rFont val="Meiryo"/>
        <family val="2"/>
        <charset val="128"/>
      </rPr>
      <t>(</t>
    </r>
    <r>
      <rPr>
        <b/>
        <sz val="14"/>
        <color rgb="FF1F4E78"/>
        <rFont val="Linux Libertine G"/>
        <family val="2"/>
      </rPr>
      <t>並べ替え</t>
    </r>
    <r>
      <rPr>
        <b/>
        <sz val="14"/>
        <color rgb="FF1F4E78"/>
        <rFont val="Meiryo"/>
        <family val="2"/>
        <charset val="128"/>
      </rPr>
      <t>)</t>
    </r>
    <r>
      <rPr>
        <b/>
        <sz val="14"/>
        <color rgb="FF1F4E78"/>
        <rFont val="Linux Libertine G"/>
        <family val="2"/>
      </rPr>
      <t>【解答】</t>
    </r>
  </si>
  <si>
    <r>
      <rPr>
        <sz val="9"/>
        <color rgb="FFC00000"/>
        <rFont val="Linux Libertine G"/>
        <family val="2"/>
      </rPr>
      <t>※ データを「売上個数」の昇順に並べ替えてから作成</t>
    </r>
    <r>
      <rPr>
        <sz val="9"/>
        <color rgb="FFC00000"/>
        <rFont val="Meiryo"/>
        <family val="2"/>
        <charset val="128"/>
      </rPr>
      <t>(</t>
    </r>
    <r>
      <rPr>
        <sz val="9"/>
        <color rgb="FFC00000"/>
        <rFont val="Linux Libertine G"/>
        <family val="2"/>
      </rPr>
      <t>横棒は下から順に描かれるため、昇順にすると上が</t>
    </r>
    <r>
      <rPr>
        <sz val="9"/>
        <color rgb="FFC00000"/>
        <rFont val="Meiryo"/>
        <family val="2"/>
        <charset val="128"/>
      </rPr>
      <t>1</t>
    </r>
    <r>
      <rPr>
        <sz val="9"/>
        <color rgb="FFC00000"/>
        <rFont val="Linux Libertine G"/>
        <family val="2"/>
      </rPr>
      <t>位になる</t>
    </r>
    <r>
      <rPr>
        <sz val="9"/>
        <color rgb="FFC00000"/>
        <rFont val="Meiryo"/>
        <family val="2"/>
        <charset val="128"/>
      </rPr>
      <t>)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</si>
  <si>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6 </t>
    </r>
    <r>
      <rPr>
        <b/>
        <sz val="14"/>
        <color rgb="FF1F4E78"/>
        <rFont val="Linux Libertine G"/>
        <family val="2"/>
      </rPr>
      <t>複合グラフ</t>
    </r>
    <r>
      <rPr>
        <b/>
        <sz val="14"/>
        <color rgb="FF1F4E78"/>
        <rFont val="Meiryo"/>
        <family val="2"/>
        <charset val="128"/>
      </rPr>
      <t>(</t>
    </r>
    <r>
      <rPr>
        <b/>
        <sz val="14"/>
        <color rgb="FF1F4E78"/>
        <rFont val="Linux Libertine G"/>
        <family val="2"/>
      </rPr>
      <t>第</t>
    </r>
    <r>
      <rPr>
        <b/>
        <sz val="14"/>
        <color rgb="FF1F4E78"/>
        <rFont val="Meiryo"/>
        <family val="2"/>
        <charset val="128"/>
      </rPr>
      <t>2</t>
    </r>
    <r>
      <rPr>
        <b/>
        <sz val="14"/>
        <color rgb="FF1F4E78"/>
        <rFont val="Linux Libertine G"/>
        <family val="2"/>
      </rPr>
      <t>軸</t>
    </r>
    <r>
      <rPr>
        <b/>
        <sz val="14"/>
        <color rgb="FF1F4E78"/>
        <rFont val="Meiryo"/>
        <family val="2"/>
        <charset val="128"/>
      </rPr>
      <t>)</t>
    </r>
    <r>
      <rPr>
        <b/>
        <sz val="14"/>
        <color rgb="FF1F4E78"/>
        <rFont val="Linux Libertine G"/>
        <family val="2"/>
      </rPr>
      <t>【解答】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</si>
  <si>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7 </t>
    </r>
    <r>
      <rPr>
        <b/>
        <sz val="14"/>
        <color rgb="FF1F4E78"/>
        <rFont val="Linux Libertine G"/>
        <family val="2"/>
      </rPr>
      <t>散布図</t>
    </r>
    <r>
      <rPr>
        <b/>
        <sz val="14"/>
        <color rgb="FF1F4E78"/>
        <rFont val="Meiryo"/>
        <family val="2"/>
        <charset val="128"/>
      </rPr>
      <t>+</t>
    </r>
    <r>
      <rPr>
        <b/>
        <sz val="14"/>
        <color rgb="FF1F4E78"/>
        <rFont val="Linux Libertine G"/>
        <family val="2"/>
      </rPr>
      <t>近似曲線【解答】</t>
    </r>
  </si>
  <si>
    <r>
      <t>グラフ選択 → 右上の</t>
    </r>
    <r>
      <rPr>
        <sz val="9"/>
        <color rgb="FF595959"/>
        <rFont val="Meiryo"/>
        <family val="2"/>
        <charset val="128"/>
      </rPr>
      <t>[+](</t>
    </r>
    <r>
      <rPr>
        <sz val="9"/>
        <color rgb="FF595959"/>
        <rFont val="Linux Libertine G"/>
        <family val="2"/>
      </rPr>
      <t>グラフ要素</t>
    </r>
    <r>
      <rPr>
        <sz val="9"/>
        <color rgb="FF595959"/>
        <rFont val="Meiryo"/>
        <family val="2"/>
        <charset val="128"/>
      </rPr>
      <t>)→</t>
    </r>
    <r>
      <rPr>
        <sz val="9"/>
        <color rgb="FF595959"/>
        <rFont val="Linux Libertine G"/>
        <family val="2"/>
      </rPr>
      <t>「軸ラベル」「データラベル」にチェック、「凡例」のチェックを外す</t>
    </r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</si>
</sst>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00"/>
    <numFmt numFmtId="178" formatCode="0.0"/>
  </numFmts>
  <fonts count="22">
    <font>
      <sz val="11"/>
      <color theme="1"/>
      <name val="Linux Libertine G"/>
      <family val="2"/>
    </font>
    <font>
      <sz val="10"/>
      <color rgb="FF000000"/>
      <name val="Linux Libertine G"/>
      <family val="2"/>
    </font>
    <font>
      <b/>
      <sz val="14"/>
      <color rgb="FF1F4E78"/>
      <name val="Meiryo"/>
      <family val="2"/>
      <charset val="128"/>
    </font>
    <font>
      <b/>
      <sz val="14"/>
      <color rgb="FF1F4E78"/>
      <name val="Linux Libertine G"/>
      <family val="2"/>
    </font>
    <font>
      <sz val="9"/>
      <color rgb="FF666666"/>
      <name val="Linux Libertine G"/>
      <family val="2"/>
    </font>
    <font>
      <b/>
      <sz val="10"/>
      <color rgb="FFFFFFFF"/>
      <name val="Meiryo"/>
      <family val="2"/>
      <charset val="128"/>
    </font>
    <font>
      <b/>
      <sz val="10"/>
      <color rgb="FFFFFFFF"/>
      <name val="Linux Libertine G"/>
      <family val="2"/>
    </font>
    <font>
      <u/>
      <sz val="10"/>
      <color rgb="FF0563C1"/>
      <name val="Linux Libertine G"/>
      <family val="2"/>
    </font>
    <font>
      <sz val="10"/>
      <color rgb="FF000000"/>
      <name val="Meiryo"/>
      <family val="2"/>
      <charset val="128"/>
    </font>
    <font>
      <b/>
      <sz val="11"/>
      <color rgb="FF000000"/>
      <name val="Linux Libertine G"/>
      <family val="2"/>
    </font>
    <font>
      <sz val="10"/>
      <color rgb="FF0000FF"/>
      <name val="Meiryo"/>
      <family val="2"/>
      <charset val="128"/>
    </font>
    <font>
      <b/>
      <sz val="10"/>
      <color rgb="FF000000"/>
      <name val="Linux Libertine G"/>
      <family val="2"/>
    </font>
    <font>
      <b/>
      <sz val="10"/>
      <color rgb="FF000000"/>
      <name val="Meiryo"/>
      <family val="2"/>
      <charset val="128"/>
    </font>
    <font>
      <b/>
      <sz val="11"/>
      <color rgb="FFC00000"/>
      <name val="Linux Libertine G"/>
      <family val="2"/>
    </font>
    <font>
      <b/>
      <sz val="11"/>
      <color rgb="FFC00000"/>
      <name val="Meiryo"/>
      <family val="2"/>
      <charset val="128"/>
    </font>
    <font>
      <sz val="9"/>
      <color rgb="FF595959"/>
      <name val="Meiryo"/>
      <family val="2"/>
      <charset val="128"/>
    </font>
    <font>
      <sz val="9"/>
      <color rgb="FF595959"/>
      <name val="Linux Libertine G"/>
      <family val="2"/>
    </font>
    <font>
      <b/>
      <sz val="11"/>
      <color rgb="FF375623"/>
      <name val="Linux Libertine G"/>
      <family val="2"/>
    </font>
    <font>
      <b/>
      <sz val="11"/>
      <color rgb="FF375623"/>
      <name val="Meiryo"/>
      <family val="2"/>
      <charset val="128"/>
    </font>
    <font>
      <sz val="9"/>
      <color rgb="FFC00000"/>
      <name val="Linux Libertine G"/>
      <family val="2"/>
    </font>
    <font>
      <sz val="9"/>
      <color rgb="FFC00000"/>
      <name val="Meiryo"/>
      <family val="2"/>
      <charset val="128"/>
    </font>
    <font>
      <sz val="6"/>
      <name val="Noto Sans CJK JP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3" fillId="0" borderId="0" xfId="0" applyFont="1"/>
    <xf numFmtId="0" fontId="6" fillId="2" borderId="1" xfId="0" applyFont="1" applyFill="1" applyBorder="1" applyAlignment="1">
      <alignment horizontal="center"/>
    </xf>
    <xf numFmtId="3" fontId="10" fillId="0" borderId="1" xfId="0" applyNumberFormat="1" applyFont="1" applyBorder="1"/>
    <xf numFmtId="0" fontId="11" fillId="0" borderId="0" xfId="0" applyFont="1"/>
    <xf numFmtId="3" fontId="12" fillId="0" borderId="1" xfId="0" applyNumberFormat="1" applyFont="1" applyBorder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" fillId="3" borderId="1" xfId="0" applyFont="1" applyFill="1" applyBorder="1" applyAlignment="1">
      <alignment horizontal="center"/>
    </xf>
    <xf numFmtId="0" fontId="8" fillId="0" borderId="1" xfId="0" applyFont="1" applyBorder="1"/>
    <xf numFmtId="176" fontId="8" fillId="0" borderId="1" xfId="0" applyNumberFormat="1" applyFont="1" applyBorder="1"/>
    <xf numFmtId="177" fontId="8" fillId="0" borderId="1" xfId="0" applyNumberFormat="1" applyFont="1" applyBorder="1"/>
    <xf numFmtId="2" fontId="8" fillId="0" borderId="1" xfId="0" applyNumberFormat="1" applyFont="1" applyBorder="1"/>
    <xf numFmtId="178" fontId="8" fillId="0" borderId="1" xfId="0" applyNumberFormat="1" applyFont="1" applyBorder="1"/>
    <xf numFmtId="0" fontId="19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70AD47"/>
      <rgbColor rgb="FF878787"/>
      <rgbColor rgb="FF9999FF"/>
      <rgbColor rgb="FFBE4B48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4BACC6"/>
      <rgbColor rgb="FF9BBB59"/>
      <rgbColor rgb="FFFFCC00"/>
      <rgbColor rgb="FFF79646"/>
      <rgbColor rgb="FFFF6600"/>
      <rgbColor rgb="FF8064A2"/>
      <rgbColor rgb="FF999999"/>
      <rgbColor rgb="FF003366"/>
      <rgbColor rgb="FF4A7EBB"/>
      <rgbColor rgb="FF003300"/>
      <rgbColor rgb="FF595959"/>
      <rgbColor rgb="FF993300"/>
      <rgbColor rgb="FFC0504D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支店別売上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ja-JP" altLang="en-US"/>
                      <a:t>売上</a:t>
                    </a:r>
                    <a:r>
                      <a:rPr lang="en-US" altLang="ja-JP" baseline="0"/>
                      <a:t>, </a:t>
                    </a:r>
                    <a:fld id="{805DA5F7-48D7-5242-B1E1-ECB60874E8FA}" type="CATEGORYNAME">
                      <a:rPr lang="ja-JP" altLang="en-US" baseline="0"/>
                      <a:pPr/>
                      <a:t>[分類名]</a:t>
                    </a:fld>
                    <a:r>
                      <a:rPr lang="en-US" altLang="ja-JP" baseline="0"/>
                      <a:t>, </a:t>
                    </a:r>
                    <a:fld id="{5383201C-C576-AB46-8D79-61CC1178E897}" type="VALUE">
                      <a:rPr lang="en-US" altLang="ja-JP" baseline="0"/>
                      <a:pPr/>
                      <a:t>[値]</a:t>
                    </a:fld>
                    <a:endParaRPr lang="en-US" altLang="ja-JP" baseline="0"/>
                  </a:p>
                </c:rich>
              </c:tx>
              <c:dLblPos val="outEnd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6721-674D-9E24-562782B691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ja-JP" altLang="en-US" baseline="0"/>
                      <a:t>売上</a:t>
                    </a:r>
                    <a:r>
                      <a:rPr lang="en-US" altLang="ja-JP" baseline="0"/>
                      <a:t>, </a:t>
                    </a:r>
                    <a:fld id="{B169C155-4CF6-A447-9DDB-8D634E03FF66}" type="CATEGORYNAME">
                      <a:rPr lang="ja-JP" altLang="en-US" baseline="0"/>
                      <a:pPr/>
                      <a:t>[分類名]</a:t>
                    </a:fld>
                    <a:r>
                      <a:rPr lang="en-US" altLang="ja-JP" baseline="0"/>
                      <a:t>, </a:t>
                    </a:r>
                    <a:fld id="{D6DA2541-378D-AF47-81F0-B80629A40D30}" type="VALUE">
                      <a:rPr lang="en-US" altLang="ja-JP" baseline="0"/>
                      <a:pPr/>
                      <a:t>[値]</a:t>
                    </a:fld>
                    <a:endParaRPr lang="en-US" altLang="ja-JP" baseline="0"/>
                  </a:p>
                </c:rich>
              </c:tx>
              <c:dLblPos val="outEnd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721-674D-9E24-562782B691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ja-JP" altLang="en-US"/>
                      <a:t>売上</a:t>
                    </a:r>
                    <a:r>
                      <a:rPr lang="en-US" altLang="ja-JP" baseline="0"/>
                      <a:t>, </a:t>
                    </a:r>
                    <a:fld id="{A0D394D7-484F-274A-8B74-6182F64249FD}" type="CATEGORYNAME">
                      <a:rPr lang="ja-JP" altLang="en-US" baseline="0"/>
                      <a:pPr/>
                      <a:t>[分類名]</a:t>
                    </a:fld>
                    <a:r>
                      <a:rPr lang="en-US" altLang="ja-JP" baseline="0"/>
                      <a:t>, </a:t>
                    </a:r>
                    <a:fld id="{C52A2193-2A09-8D40-93C6-7D170337134A}" type="VALUE">
                      <a:rPr lang="en-US" altLang="ja-JP" baseline="0"/>
                      <a:pPr/>
                      <a:t>[値]</a:t>
                    </a:fld>
                    <a:endParaRPr lang="en-US" altLang="ja-JP" baseline="0"/>
                  </a:p>
                </c:rich>
              </c:tx>
              <c:dLblPos val="outEnd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721-674D-9E24-562782B691A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ja-JP" altLang="en-US"/>
                      <a:t>売上</a:t>
                    </a:r>
                    <a:r>
                      <a:rPr lang="en-US" altLang="ja-JP" baseline="0"/>
                      <a:t>, </a:t>
                    </a:r>
                    <a:fld id="{A70A69E0-84B1-4540-BAFD-DEF9C7D20EE2}" type="CATEGORYNAME">
                      <a:rPr lang="ja-JP" altLang="en-US" baseline="0"/>
                      <a:pPr/>
                      <a:t>[分類名]</a:t>
                    </a:fld>
                    <a:r>
                      <a:rPr lang="en-US" altLang="ja-JP" baseline="0"/>
                      <a:t>, </a:t>
                    </a:r>
                    <a:fld id="{C2970E20-2FD2-7349-AAD4-71A27B0D8F0B}" type="VALUE">
                      <a:rPr lang="en-US" altLang="ja-JP" baseline="0"/>
                      <a:pPr/>
                      <a:t>[値]</a:t>
                    </a:fld>
                    <a:endParaRPr lang="en-US" altLang="ja-JP" baseline="0"/>
                  </a:p>
                </c:rich>
              </c:tx>
              <c:dLblPos val="outEnd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6721-674D-9E24-562782B691A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ja-JP" altLang="en-US"/>
                      <a:t>売上</a:t>
                    </a:r>
                    <a:r>
                      <a:rPr lang="en-US" altLang="ja-JP" baseline="0"/>
                      <a:t>, </a:t>
                    </a:r>
                    <a:fld id="{F1884BA8-D51A-2340-9B82-82B269C4A20B}" type="CATEGORYNAME">
                      <a:rPr lang="ja-JP" altLang="en-US" baseline="0"/>
                      <a:pPr/>
                      <a:t>[分類名]</a:t>
                    </a:fld>
                    <a:r>
                      <a:rPr lang="en-US" altLang="ja-JP" baseline="0"/>
                      <a:t>, </a:t>
                    </a:r>
                    <a:fld id="{7272EA7E-4B35-A94D-8E77-390BBEC00337}" type="VALUE">
                      <a:rPr lang="en-US" altLang="ja-JP" baseline="0"/>
                      <a:pPr/>
                      <a:t>[値]</a:t>
                    </a:fld>
                    <a:endParaRPr lang="en-US" altLang="ja-JP" baseline="0"/>
                  </a:p>
                </c:rich>
              </c:tx>
              <c:dLblPos val="outEnd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721-674D-9E24-562782B691A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ja-JP" altLang="en-US"/>
                      <a:t>売上</a:t>
                    </a:r>
                    <a:r>
                      <a:rPr lang="en-US" altLang="ja-JP" baseline="0"/>
                      <a:t>, </a:t>
                    </a:r>
                    <a:fld id="{966D46C8-7BC0-E84B-BA06-C90CD58A84BD}" type="CATEGORYNAME">
                      <a:rPr lang="ja-JP" altLang="en-US" baseline="0"/>
                      <a:pPr/>
                      <a:t>[分類名]</a:t>
                    </a:fld>
                    <a:r>
                      <a:rPr lang="en-US" altLang="ja-JP" baseline="0"/>
                      <a:t>, </a:t>
                    </a:r>
                    <a:fld id="{A9F0DF8F-2719-A94F-8CE6-10DE51FFB041}" type="VALUE">
                      <a:rPr lang="en-US" altLang="ja-JP" baseline="0"/>
                      <a:pPr/>
                      <a:t>[値]</a:t>
                    </a:fld>
                    <a:endParaRPr lang="en-US" altLang="ja-JP" baseline="0"/>
                  </a:p>
                </c:rich>
              </c:tx>
              <c:dLblPos val="outEnd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6721-674D-9E24-562782B691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問題1!$B$5:$B$10</c:f>
              <c:strCache>
                <c:ptCount val="6"/>
                <c:pt idx="0">
                  <c:v>札幌</c:v>
                </c:pt>
                <c:pt idx="1">
                  <c:v>仙台</c:v>
                </c:pt>
                <c:pt idx="2">
                  <c:v>東京</c:v>
                </c:pt>
                <c:pt idx="3">
                  <c:v>名古屋</c:v>
                </c:pt>
                <c:pt idx="4">
                  <c:v>大阪</c:v>
                </c:pt>
                <c:pt idx="5">
                  <c:v>福岡</c:v>
                </c:pt>
              </c:strCache>
            </c:strRef>
          </c:cat>
          <c:val>
            <c:numRef>
              <c:f>問題1!$C$5:$C$10</c:f>
              <c:numCache>
                <c:formatCode>#,##0</c:formatCode>
                <c:ptCount val="6"/>
                <c:pt idx="0">
                  <c:v>4200</c:v>
                </c:pt>
                <c:pt idx="1">
                  <c:v>3100</c:v>
                </c:pt>
                <c:pt idx="2">
                  <c:v>8600</c:v>
                </c:pt>
                <c:pt idx="3">
                  <c:v>5400</c:v>
                </c:pt>
                <c:pt idx="4">
                  <c:v>7300</c:v>
                </c:pt>
                <c:pt idx="5">
                  <c:v>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1-674D-9E24-562782B691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6149503"/>
        <c:axId val="1997834431"/>
      </c:barChart>
      <c:catAx>
        <c:axId val="2016149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支店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97834431"/>
        <c:crosses val="autoZero"/>
        <c:auto val="1"/>
        <c:lblAlgn val="ctr"/>
        <c:lblOffset val="100"/>
        <c:noMultiLvlLbl val="0"/>
      </c:catAx>
      <c:valAx>
        <c:axId val="199783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売上（千円）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1614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ja-JP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支店別売上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解答1!$C$4</c:f>
              <c:strCache>
                <c:ptCount val="1"/>
                <c:pt idx="0">
                  <c:v>売上(千円)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ja-JP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解答1!$B$5:$B$10</c:f>
              <c:strCache>
                <c:ptCount val="6"/>
                <c:pt idx="0">
                  <c:v>札幌</c:v>
                </c:pt>
                <c:pt idx="1">
                  <c:v>仙台</c:v>
                </c:pt>
                <c:pt idx="2">
                  <c:v>東京</c:v>
                </c:pt>
                <c:pt idx="3">
                  <c:v>名古屋</c:v>
                </c:pt>
                <c:pt idx="4">
                  <c:v>大阪</c:v>
                </c:pt>
                <c:pt idx="5">
                  <c:v>福岡</c:v>
                </c:pt>
              </c:strCache>
            </c:strRef>
          </c:cat>
          <c:val>
            <c:numRef>
              <c:f>解答1!$C$5:$C$10</c:f>
              <c:numCache>
                <c:formatCode>#,##0</c:formatCode>
                <c:ptCount val="6"/>
                <c:pt idx="0">
                  <c:v>4200</c:v>
                </c:pt>
                <c:pt idx="1">
                  <c:v>3100</c:v>
                </c:pt>
                <c:pt idx="2">
                  <c:v>8600</c:v>
                </c:pt>
                <c:pt idx="3">
                  <c:v>5400</c:v>
                </c:pt>
                <c:pt idx="4">
                  <c:v>7300</c:v>
                </c:pt>
                <c:pt idx="5">
                  <c:v>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2-0248-A6DD-9E9606551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468058"/>
        <c:axId val="23100907"/>
      </c:barChart>
      <c:catAx>
        <c:axId val="954680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ja-JP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支店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23100907"/>
        <c:crosses val="autoZero"/>
        <c:auto val="1"/>
        <c:lblAlgn val="ctr"/>
        <c:lblOffset val="100"/>
        <c:noMultiLvlLbl val="0"/>
      </c:catAx>
      <c:valAx>
        <c:axId val="231009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ja-JP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売上</a:t>
                </a:r>
                <a:r>
                  <a:rPr lang="en-US" altLang="ja-JP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(</a:t>
                </a:r>
                <a:r>
                  <a:rPr lang="ja-JP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千円</a:t>
                </a:r>
                <a:r>
                  <a:rPr lang="en-US" altLang="ja-JP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95468058"/>
        <c:crosses val="autoZero"/>
        <c:crossBetween val="between"/>
      </c:valAx>
      <c:spPr>
        <a:ln w="0">
          <a:noFill/>
        </a:ln>
      </c:spPr>
    </c:plotArea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製品別 月次売上推移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解答2!$C$4</c:f>
              <c:strCache>
                <c:ptCount val="1"/>
                <c:pt idx="0">
                  <c:v>製品A(万円)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解答2!$B$5:$B$16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解答2!$C$5:$C$16</c:f>
              <c:numCache>
                <c:formatCode>#,##0</c:formatCode>
                <c:ptCount val="12"/>
                <c:pt idx="0">
                  <c:v>120</c:v>
                </c:pt>
                <c:pt idx="1">
                  <c:v>115</c:v>
                </c:pt>
                <c:pt idx="2">
                  <c:v>140</c:v>
                </c:pt>
                <c:pt idx="3">
                  <c:v>155</c:v>
                </c:pt>
                <c:pt idx="4">
                  <c:v>170</c:v>
                </c:pt>
                <c:pt idx="5">
                  <c:v>190</c:v>
                </c:pt>
                <c:pt idx="6">
                  <c:v>230</c:v>
                </c:pt>
                <c:pt idx="7">
                  <c:v>250</c:v>
                </c:pt>
                <c:pt idx="8">
                  <c:v>200</c:v>
                </c:pt>
                <c:pt idx="9">
                  <c:v>175</c:v>
                </c:pt>
                <c:pt idx="10">
                  <c:v>160</c:v>
                </c:pt>
                <c:pt idx="11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FB-4945-BDC6-282783826C57}"/>
            </c:ext>
          </c:extLst>
        </c:ser>
        <c:ser>
          <c:idx val="1"/>
          <c:order val="1"/>
          <c:tx>
            <c:strRef>
              <c:f>解答2!$D$4</c:f>
              <c:strCache>
                <c:ptCount val="1"/>
                <c:pt idx="0">
                  <c:v>製品B(万円)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解答2!$B$5:$B$16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解答2!$D$5:$D$16</c:f>
              <c:numCache>
                <c:formatCode>#,##0</c:formatCode>
                <c:ptCount val="12"/>
                <c:pt idx="0">
                  <c:v>80</c:v>
                </c:pt>
                <c:pt idx="1">
                  <c:v>95</c:v>
                </c:pt>
                <c:pt idx="2">
                  <c:v>100</c:v>
                </c:pt>
                <c:pt idx="3">
                  <c:v>110</c:v>
                </c:pt>
                <c:pt idx="4">
                  <c:v>105</c:v>
                </c:pt>
                <c:pt idx="5">
                  <c:v>120</c:v>
                </c:pt>
                <c:pt idx="6">
                  <c:v>130</c:v>
                </c:pt>
                <c:pt idx="7">
                  <c:v>125</c:v>
                </c:pt>
                <c:pt idx="8">
                  <c:v>140</c:v>
                </c:pt>
                <c:pt idx="9">
                  <c:v>150</c:v>
                </c:pt>
                <c:pt idx="10">
                  <c:v>165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FB-4945-BDC6-282783826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4353075"/>
        <c:axId val="50931613"/>
      </c:lineChart>
      <c:catAx>
        <c:axId val="543530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50931613"/>
        <c:crosses val="autoZero"/>
        <c:auto val="1"/>
        <c:lblAlgn val="ctr"/>
        <c:lblOffset val="100"/>
        <c:noMultiLvlLbl val="0"/>
      </c:catAx>
      <c:valAx>
        <c:axId val="50931613"/>
        <c:scaling>
          <c:orientation val="minMax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売上(万円)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54353075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経費の構成比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解答3!$C$4</c:f>
              <c:strCache>
                <c:ptCount val="1"/>
                <c:pt idx="0">
                  <c:v>金額(千円)</c:v>
                </c:pt>
              </c:strCache>
            </c:strRef>
          </c:tx>
          <c:spPr>
            <a:ln w="1260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DF45-7748-AF28-56A8912992C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DF45-7748-AF28-56A8912992C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DF45-7748-AF28-56A8912992C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DF45-7748-AF28-56A8912992C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DF45-7748-AF28-56A8912992CB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DF45-7748-AF28-56A8912992C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F45-7748-AF28-56A8912992C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F45-7748-AF28-56A8912992C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F45-7748-AF28-56A8912992C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DF45-7748-AF28-56A8912992C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DF45-7748-AF28-56A8912992C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DF45-7748-AF28-56A8912992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ja-JP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解答3!$B$5:$B$10</c:f>
              <c:strCache>
                <c:ptCount val="6"/>
                <c:pt idx="0">
                  <c:v>人件費</c:v>
                </c:pt>
                <c:pt idx="1">
                  <c:v>家賃</c:v>
                </c:pt>
                <c:pt idx="2">
                  <c:v>広告宣伝費</c:v>
                </c:pt>
                <c:pt idx="3">
                  <c:v>水道光熱費</c:v>
                </c:pt>
                <c:pt idx="4">
                  <c:v>通信費</c:v>
                </c:pt>
                <c:pt idx="5">
                  <c:v>その他</c:v>
                </c:pt>
              </c:strCache>
            </c:strRef>
          </c:cat>
          <c:val>
            <c:numRef>
              <c:f>解答3!$C$5:$C$10</c:f>
              <c:numCache>
                <c:formatCode>#,##0</c:formatCode>
                <c:ptCount val="6"/>
                <c:pt idx="0">
                  <c:v>4500</c:v>
                </c:pt>
                <c:pt idx="1">
                  <c:v>1800</c:v>
                </c:pt>
                <c:pt idx="2">
                  <c:v>1200</c:v>
                </c:pt>
                <c:pt idx="3">
                  <c:v>600</c:v>
                </c:pt>
                <c:pt idx="4">
                  <c:v>400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F45-7748-AF28-56A891299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ln w="0">
          <a:noFill/>
        </a:ln>
      </c:spPr>
    </c:plotArea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四半期別 部門売上(百万円)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解答4!$C$4</c:f>
              <c:strCache>
                <c:ptCount val="1"/>
                <c:pt idx="0">
                  <c:v>食品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解答4!$B$5:$B$8</c:f>
              <c:strCache>
                <c:ptCount val="4"/>
                <c:pt idx="0">
                  <c:v>第1四半期</c:v>
                </c:pt>
                <c:pt idx="1">
                  <c:v>第2四半期</c:v>
                </c:pt>
                <c:pt idx="2">
                  <c:v>第3四半期</c:v>
                </c:pt>
                <c:pt idx="3">
                  <c:v>第4四半期</c:v>
                </c:pt>
              </c:strCache>
            </c:strRef>
          </c:cat>
          <c:val>
            <c:numRef>
              <c:f>解答4!$C$5:$C$8</c:f>
              <c:numCache>
                <c:formatCode>#,##0</c:formatCode>
                <c:ptCount val="4"/>
                <c:pt idx="0">
                  <c:v>320</c:v>
                </c:pt>
                <c:pt idx="1">
                  <c:v>350</c:v>
                </c:pt>
                <c:pt idx="2">
                  <c:v>300</c:v>
                </c:pt>
                <c:pt idx="3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A-9548-BAAE-45896EF63C79}"/>
            </c:ext>
          </c:extLst>
        </c:ser>
        <c:ser>
          <c:idx val="1"/>
          <c:order val="1"/>
          <c:tx>
            <c:strRef>
              <c:f>解答4!$D$4</c:f>
              <c:strCache>
                <c:ptCount val="1"/>
                <c:pt idx="0">
                  <c:v>日用品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解答4!$B$5:$B$8</c:f>
              <c:strCache>
                <c:ptCount val="4"/>
                <c:pt idx="0">
                  <c:v>第1四半期</c:v>
                </c:pt>
                <c:pt idx="1">
                  <c:v>第2四半期</c:v>
                </c:pt>
                <c:pt idx="2">
                  <c:v>第3四半期</c:v>
                </c:pt>
                <c:pt idx="3">
                  <c:v>第4四半期</c:v>
                </c:pt>
              </c:strCache>
            </c:strRef>
          </c:cat>
          <c:val>
            <c:numRef>
              <c:f>解答4!$D$5:$D$8</c:f>
              <c:numCache>
                <c:formatCode>#,##0</c:formatCode>
                <c:ptCount val="4"/>
                <c:pt idx="0">
                  <c:v>210</c:v>
                </c:pt>
                <c:pt idx="1">
                  <c:v>240</c:v>
                </c:pt>
                <c:pt idx="2">
                  <c:v>280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7A-9548-BAAE-45896EF63C79}"/>
            </c:ext>
          </c:extLst>
        </c:ser>
        <c:ser>
          <c:idx val="2"/>
          <c:order val="2"/>
          <c:tx>
            <c:strRef>
              <c:f>解答4!$E$4</c:f>
              <c:strCache>
                <c:ptCount val="1"/>
                <c:pt idx="0">
                  <c:v>衣料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解答4!$B$5:$B$8</c:f>
              <c:strCache>
                <c:ptCount val="4"/>
                <c:pt idx="0">
                  <c:v>第1四半期</c:v>
                </c:pt>
                <c:pt idx="1">
                  <c:v>第2四半期</c:v>
                </c:pt>
                <c:pt idx="2">
                  <c:v>第3四半期</c:v>
                </c:pt>
                <c:pt idx="3">
                  <c:v>第4四半期</c:v>
                </c:pt>
              </c:strCache>
            </c:strRef>
          </c:cat>
          <c:val>
            <c:numRef>
              <c:f>解答4!$E$5:$E$8</c:f>
              <c:numCache>
                <c:formatCode>#,##0</c:formatCode>
                <c:ptCount val="4"/>
                <c:pt idx="0">
                  <c:v>150</c:v>
                </c:pt>
                <c:pt idx="1">
                  <c:v>170</c:v>
                </c:pt>
                <c:pt idx="2">
                  <c:v>200</c:v>
                </c:pt>
                <c:pt idx="3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7A-9548-BAAE-45896EF63C79}"/>
            </c:ext>
          </c:extLst>
        </c:ser>
        <c:ser>
          <c:idx val="3"/>
          <c:order val="3"/>
          <c:tx>
            <c:strRef>
              <c:f>解答4!$F$4</c:f>
              <c:strCache>
                <c:ptCount val="1"/>
                <c:pt idx="0">
                  <c:v>家電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解答4!$B$5:$B$8</c:f>
              <c:strCache>
                <c:ptCount val="4"/>
                <c:pt idx="0">
                  <c:v>第1四半期</c:v>
                </c:pt>
                <c:pt idx="1">
                  <c:v>第2四半期</c:v>
                </c:pt>
                <c:pt idx="2">
                  <c:v>第3四半期</c:v>
                </c:pt>
                <c:pt idx="3">
                  <c:v>第4四半期</c:v>
                </c:pt>
              </c:strCache>
            </c:strRef>
          </c:cat>
          <c:val>
            <c:numRef>
              <c:f>解答4!$F$5:$F$8</c:f>
              <c:numCache>
                <c:formatCode>#,##0</c:formatCode>
                <c:ptCount val="4"/>
                <c:pt idx="0">
                  <c:v>90</c:v>
                </c:pt>
                <c:pt idx="1">
                  <c:v>110</c:v>
                </c:pt>
                <c:pt idx="2">
                  <c:v>130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7A-9548-BAAE-45896EF63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48227719"/>
        <c:axId val="81845096"/>
      </c:barChart>
      <c:catAx>
        <c:axId val="48227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81845096"/>
        <c:crosses val="autoZero"/>
        <c:auto val="1"/>
        <c:lblAlgn val="ctr"/>
        <c:lblOffset val="100"/>
        <c:noMultiLvlLbl val="0"/>
      </c:catAx>
      <c:valAx>
        <c:axId val="818450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48227719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(発展)100%積み上げ:部門構成比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解答4!$C$4</c:f>
              <c:strCache>
                <c:ptCount val="1"/>
                <c:pt idx="0">
                  <c:v>食品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解答4!$B$5:$B$8</c:f>
              <c:strCache>
                <c:ptCount val="4"/>
                <c:pt idx="0">
                  <c:v>第1四半期</c:v>
                </c:pt>
                <c:pt idx="1">
                  <c:v>第2四半期</c:v>
                </c:pt>
                <c:pt idx="2">
                  <c:v>第3四半期</c:v>
                </c:pt>
                <c:pt idx="3">
                  <c:v>第4四半期</c:v>
                </c:pt>
              </c:strCache>
            </c:strRef>
          </c:cat>
          <c:val>
            <c:numRef>
              <c:f>解答4!$C$5:$C$8</c:f>
              <c:numCache>
                <c:formatCode>#,##0</c:formatCode>
                <c:ptCount val="4"/>
                <c:pt idx="0">
                  <c:v>320</c:v>
                </c:pt>
                <c:pt idx="1">
                  <c:v>350</c:v>
                </c:pt>
                <c:pt idx="2">
                  <c:v>300</c:v>
                </c:pt>
                <c:pt idx="3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B-CA48-B3B9-A5D203B7E61A}"/>
            </c:ext>
          </c:extLst>
        </c:ser>
        <c:ser>
          <c:idx val="1"/>
          <c:order val="1"/>
          <c:tx>
            <c:strRef>
              <c:f>解答4!$D$4</c:f>
              <c:strCache>
                <c:ptCount val="1"/>
                <c:pt idx="0">
                  <c:v>日用品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解答4!$B$5:$B$8</c:f>
              <c:strCache>
                <c:ptCount val="4"/>
                <c:pt idx="0">
                  <c:v>第1四半期</c:v>
                </c:pt>
                <c:pt idx="1">
                  <c:v>第2四半期</c:v>
                </c:pt>
                <c:pt idx="2">
                  <c:v>第3四半期</c:v>
                </c:pt>
                <c:pt idx="3">
                  <c:v>第4四半期</c:v>
                </c:pt>
              </c:strCache>
            </c:strRef>
          </c:cat>
          <c:val>
            <c:numRef>
              <c:f>解答4!$D$5:$D$8</c:f>
              <c:numCache>
                <c:formatCode>#,##0</c:formatCode>
                <c:ptCount val="4"/>
                <c:pt idx="0">
                  <c:v>210</c:v>
                </c:pt>
                <c:pt idx="1">
                  <c:v>240</c:v>
                </c:pt>
                <c:pt idx="2">
                  <c:v>280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7B-CA48-B3B9-A5D203B7E61A}"/>
            </c:ext>
          </c:extLst>
        </c:ser>
        <c:ser>
          <c:idx val="2"/>
          <c:order val="2"/>
          <c:tx>
            <c:strRef>
              <c:f>解答4!$E$4</c:f>
              <c:strCache>
                <c:ptCount val="1"/>
                <c:pt idx="0">
                  <c:v>衣料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解答4!$B$5:$B$8</c:f>
              <c:strCache>
                <c:ptCount val="4"/>
                <c:pt idx="0">
                  <c:v>第1四半期</c:v>
                </c:pt>
                <c:pt idx="1">
                  <c:v>第2四半期</c:v>
                </c:pt>
                <c:pt idx="2">
                  <c:v>第3四半期</c:v>
                </c:pt>
                <c:pt idx="3">
                  <c:v>第4四半期</c:v>
                </c:pt>
              </c:strCache>
            </c:strRef>
          </c:cat>
          <c:val>
            <c:numRef>
              <c:f>解答4!$E$5:$E$8</c:f>
              <c:numCache>
                <c:formatCode>#,##0</c:formatCode>
                <c:ptCount val="4"/>
                <c:pt idx="0">
                  <c:v>150</c:v>
                </c:pt>
                <c:pt idx="1">
                  <c:v>170</c:v>
                </c:pt>
                <c:pt idx="2">
                  <c:v>200</c:v>
                </c:pt>
                <c:pt idx="3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7B-CA48-B3B9-A5D203B7E61A}"/>
            </c:ext>
          </c:extLst>
        </c:ser>
        <c:ser>
          <c:idx val="3"/>
          <c:order val="3"/>
          <c:tx>
            <c:strRef>
              <c:f>解答4!$F$4</c:f>
              <c:strCache>
                <c:ptCount val="1"/>
                <c:pt idx="0">
                  <c:v>家電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解答4!$B$5:$B$8</c:f>
              <c:strCache>
                <c:ptCount val="4"/>
                <c:pt idx="0">
                  <c:v>第1四半期</c:v>
                </c:pt>
                <c:pt idx="1">
                  <c:v>第2四半期</c:v>
                </c:pt>
                <c:pt idx="2">
                  <c:v>第3四半期</c:v>
                </c:pt>
                <c:pt idx="3">
                  <c:v>第4四半期</c:v>
                </c:pt>
              </c:strCache>
            </c:strRef>
          </c:cat>
          <c:val>
            <c:numRef>
              <c:f>解答4!$F$5:$F$8</c:f>
              <c:numCache>
                <c:formatCode>#,##0</c:formatCode>
                <c:ptCount val="4"/>
                <c:pt idx="0">
                  <c:v>90</c:v>
                </c:pt>
                <c:pt idx="1">
                  <c:v>110</c:v>
                </c:pt>
                <c:pt idx="2">
                  <c:v>130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7B-CA48-B3B9-A5D203B7E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41177940"/>
        <c:axId val="69167867"/>
      </c:barChart>
      <c:catAx>
        <c:axId val="411779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69167867"/>
        <c:crosses val="autoZero"/>
        <c:auto val="1"/>
        <c:lblAlgn val="ctr"/>
        <c:lblOffset val="100"/>
        <c:noMultiLvlLbl val="0"/>
      </c:catAx>
      <c:valAx>
        <c:axId val="691678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41177940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商品別 売上個数ランキング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解答5!$C$4</c:f>
              <c:strCache>
                <c:ptCount val="1"/>
                <c:pt idx="0">
                  <c:v>売上個数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ja-JP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解答5!$B$5:$B$12</c:f>
              <c:strCache>
                <c:ptCount val="8"/>
                <c:pt idx="0">
                  <c:v>ハサミ</c:v>
                </c:pt>
                <c:pt idx="1">
                  <c:v>消しゴム</c:v>
                </c:pt>
                <c:pt idx="2">
                  <c:v>のり</c:v>
                </c:pt>
                <c:pt idx="3">
                  <c:v>付箋</c:v>
                </c:pt>
                <c:pt idx="4">
                  <c:v>ボールペン</c:v>
                </c:pt>
                <c:pt idx="5">
                  <c:v>ファイル</c:v>
                </c:pt>
                <c:pt idx="6">
                  <c:v>マーカー</c:v>
                </c:pt>
                <c:pt idx="7">
                  <c:v>ノート</c:v>
                </c:pt>
              </c:strCache>
            </c:strRef>
          </c:cat>
          <c:val>
            <c:numRef>
              <c:f>解答5!$C$5:$C$12</c:f>
              <c:numCache>
                <c:formatCode>#,##0</c:formatCode>
                <c:ptCount val="8"/>
                <c:pt idx="0">
                  <c:v>310</c:v>
                </c:pt>
                <c:pt idx="1">
                  <c:v>390</c:v>
                </c:pt>
                <c:pt idx="2">
                  <c:v>450</c:v>
                </c:pt>
                <c:pt idx="3">
                  <c:v>560</c:v>
                </c:pt>
                <c:pt idx="4">
                  <c:v>820</c:v>
                </c:pt>
                <c:pt idx="5">
                  <c:v>970</c:v>
                </c:pt>
                <c:pt idx="6">
                  <c:v>1120</c:v>
                </c:pt>
                <c:pt idx="7">
                  <c:v>1340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F-8C4C-94E3-335A4DDC9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704148"/>
        <c:axId val="50463973"/>
      </c:barChart>
      <c:catAx>
        <c:axId val="977041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50463973"/>
        <c:crosses val="autoZero"/>
        <c:auto val="1"/>
        <c:lblAlgn val="ctr"/>
        <c:lblOffset val="100"/>
        <c:noMultiLvlLbl val="0"/>
      </c:catAx>
      <c:valAx>
        <c:axId val="5046397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97704148"/>
        <c:crosses val="autoZero"/>
        <c:crossBetween val="between"/>
      </c:valAx>
      <c:spPr>
        <a:ln w="0">
          <a:noFill/>
        </a:ln>
      </c:spPr>
    </c:plotArea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売上高と営業利益率の推移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解答6!$C$4</c:f>
              <c:strCache>
                <c:ptCount val="1"/>
                <c:pt idx="0">
                  <c:v>売上高(百万円)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解答6!$B$5:$B$10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解答6!$C$5:$C$10</c:f>
              <c:numCache>
                <c:formatCode>#,##0</c:formatCode>
                <c:ptCount val="6"/>
                <c:pt idx="0">
                  <c:v>5200</c:v>
                </c:pt>
                <c:pt idx="1">
                  <c:v>5800</c:v>
                </c:pt>
                <c:pt idx="2">
                  <c:v>6100</c:v>
                </c:pt>
                <c:pt idx="3">
                  <c:v>6900</c:v>
                </c:pt>
                <c:pt idx="4">
                  <c:v>7400</c:v>
                </c:pt>
                <c:pt idx="5">
                  <c:v>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0-AA46-83B4-E9F5D9FD4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262346"/>
        <c:axId val="89244496"/>
      </c:barChart>
      <c:lineChart>
        <c:grouping val="standard"/>
        <c:varyColors val="0"/>
        <c:ser>
          <c:idx val="1"/>
          <c:order val="1"/>
          <c:tx>
            <c:strRef>
              <c:f>解答6!$E$4</c:f>
              <c:strCache>
                <c:ptCount val="1"/>
                <c:pt idx="0">
                  <c:v>営業利益率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解答6!$B$5:$B$10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解答6!$E$5:$E$10</c:f>
              <c:numCache>
                <c:formatCode>0.0%</c:formatCode>
                <c:ptCount val="6"/>
                <c:pt idx="0">
                  <c:v>0.06</c:v>
                </c:pt>
                <c:pt idx="1">
                  <c:v>7.0000000000000007E-2</c:v>
                </c:pt>
                <c:pt idx="2">
                  <c:v>0.06</c:v>
                </c:pt>
                <c:pt idx="3">
                  <c:v>0.08</c:v>
                </c:pt>
                <c:pt idx="4">
                  <c:v>0.09</c:v>
                </c:pt>
                <c:pt idx="5">
                  <c:v>0.1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20-AA46-83B4-E9F5D9FD4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510287"/>
        <c:axId val="12820499"/>
      </c:lineChart>
      <c:catAx>
        <c:axId val="832623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89244496"/>
        <c:crosses val="autoZero"/>
        <c:auto val="1"/>
        <c:lblAlgn val="ctr"/>
        <c:lblOffset val="100"/>
        <c:noMultiLvlLbl val="0"/>
      </c:catAx>
      <c:valAx>
        <c:axId val="8924449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売上高(百万円)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83262346"/>
        <c:crosses val="autoZero"/>
        <c:crossBetween val="between"/>
      </c:valAx>
      <c:catAx>
        <c:axId val="151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12820499"/>
        <c:crosses val="autoZero"/>
        <c:auto val="1"/>
        <c:lblAlgn val="ctr"/>
        <c:lblOffset val="100"/>
        <c:noMultiLvlLbl val="0"/>
      </c:catAx>
      <c:valAx>
        <c:axId val="12820499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営業利益率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1510287"/>
        <c:crosses val="max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広告費と売上の関係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解答7!$D$4</c:f>
              <c:strCache>
                <c:ptCount val="1"/>
                <c:pt idx="0">
                  <c:v>売上(万円)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7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解答7!$C$5:$C$16</c:f>
              <c:numCache>
                <c:formatCode>#,##0</c:formatCode>
                <c:ptCount val="12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</c:numCache>
            </c:numRef>
          </c:xVal>
          <c:yVal>
            <c:numRef>
              <c:f>解答7!$D$5:$D$16</c:f>
              <c:numCache>
                <c:formatCode>#,##0</c:formatCode>
                <c:ptCount val="12"/>
                <c:pt idx="0">
                  <c:v>180</c:v>
                </c:pt>
                <c:pt idx="1">
                  <c:v>210</c:v>
                </c:pt>
                <c:pt idx="2">
                  <c:v>260</c:v>
                </c:pt>
                <c:pt idx="3">
                  <c:v>270</c:v>
                </c:pt>
                <c:pt idx="4">
                  <c:v>320</c:v>
                </c:pt>
                <c:pt idx="5">
                  <c:v>330</c:v>
                </c:pt>
                <c:pt idx="6">
                  <c:v>390</c:v>
                </c:pt>
                <c:pt idx="7">
                  <c:v>400</c:v>
                </c:pt>
                <c:pt idx="8">
                  <c:v>450</c:v>
                </c:pt>
                <c:pt idx="9">
                  <c:v>470</c:v>
                </c:pt>
                <c:pt idx="10">
                  <c:v>500</c:v>
                </c:pt>
                <c:pt idx="11">
                  <c:v>540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76-4344-8AB3-6A7D960E7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30347"/>
        <c:axId val="37894033"/>
      </c:scatterChart>
      <c:valAx>
        <c:axId val="551303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広告費(万円)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37894033"/>
        <c:crosses val="autoZero"/>
        <c:crossBetween val="midCat"/>
      </c:valAx>
      <c:valAx>
        <c:axId val="378940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売上(万円)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55130347"/>
        <c:crosses val="autoZero"/>
        <c:crossBetween val="midCat"/>
      </c:valAx>
      <c:spPr>
        <a:ln w="0">
          <a:noFill/>
        </a:ln>
      </c:spPr>
    </c:plotArea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627161</xdr:colOff>
      <xdr:row>0</xdr:row>
      <xdr:rowOff>47037</xdr:rowOff>
    </xdr:from>
    <xdr:to>
      <xdr:col>13</xdr:col>
      <xdr:colOff>94074</xdr:colOff>
      <xdr:row>12</xdr:row>
      <xdr:rowOff>172469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1076BF4-7D6B-1B66-290E-84DCA6F55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18</xdr:col>
      <xdr:colOff>38100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15</xdr:col>
      <xdr:colOff>364320</xdr:colOff>
      <xdr:row>19</xdr:row>
      <xdr:rowOff>11880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13</xdr:col>
      <xdr:colOff>147600</xdr:colOff>
      <xdr:row>20</xdr:row>
      <xdr:rowOff>1080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8</xdr:col>
      <xdr:colOff>307800</xdr:colOff>
      <xdr:row>26</xdr:row>
      <xdr:rowOff>11520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10</xdr:row>
      <xdr:rowOff>0</xdr:rowOff>
    </xdr:from>
    <xdr:to>
      <xdr:col>19</xdr:col>
      <xdr:colOff>256320</xdr:colOff>
      <xdr:row>26</xdr:row>
      <xdr:rowOff>11520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13</xdr:col>
      <xdr:colOff>255960</xdr:colOff>
      <xdr:row>20</xdr:row>
      <xdr:rowOff>1080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16</xdr:col>
      <xdr:colOff>364320</xdr:colOff>
      <xdr:row>20</xdr:row>
      <xdr:rowOff>1080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14</xdr:col>
      <xdr:colOff>255960</xdr:colOff>
      <xdr:row>20</xdr:row>
      <xdr:rowOff>1080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Excel_&#12463;&#12441;&#12521;&#12501;&#20316;&#25104;_&#28436;&#32722;&#21839;&#38988;.xlsx" TargetMode="External"/><Relationship Id="rId7" Type="http://schemas.openxmlformats.org/officeDocument/2006/relationships/hyperlink" Target="Excel_&#12463;&#12441;&#12521;&#12501;&#20316;&#25104;_&#28436;&#32722;&#21839;&#38988;.xlsx" TargetMode="External"/><Relationship Id="rId2" Type="http://schemas.openxmlformats.org/officeDocument/2006/relationships/hyperlink" Target="Excel_&#12463;&#12441;&#12521;&#12501;&#20316;&#25104;_&#28436;&#32722;&#21839;&#38988;.xlsx" TargetMode="External"/><Relationship Id="rId1" Type="http://schemas.openxmlformats.org/officeDocument/2006/relationships/hyperlink" Target="Excel_&#12463;&#12441;&#12521;&#12501;&#20316;&#25104;_&#28436;&#32722;&#21839;&#38988;.xlsx" TargetMode="External"/><Relationship Id="rId6" Type="http://schemas.openxmlformats.org/officeDocument/2006/relationships/hyperlink" Target="Excel_&#12463;&#12441;&#12521;&#12501;&#20316;&#25104;_&#28436;&#32722;&#21839;&#38988;.xlsx" TargetMode="External"/><Relationship Id="rId5" Type="http://schemas.openxmlformats.org/officeDocument/2006/relationships/hyperlink" Target="Excel_&#12463;&#12441;&#12521;&#12501;&#20316;&#25104;_&#28436;&#32722;&#21839;&#38988;.xlsx" TargetMode="External"/><Relationship Id="rId4" Type="http://schemas.openxmlformats.org/officeDocument/2006/relationships/hyperlink" Target="Excel_&#12463;&#12441;&#12521;&#12501;&#20316;&#25104;_&#28436;&#32722;&#21839;&#38988;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L60"/>
  <sheetViews>
    <sheetView zoomScale="150" zoomScaleNormal="100" workbookViewId="0">
      <selection activeCell="B19" sqref="B19"/>
    </sheetView>
  </sheetViews>
  <sheetFormatPr baseColWidth="10" defaultColWidth="9.5" defaultRowHeight="14"/>
  <cols>
    <col min="1" max="1" width="2.1640625" customWidth="1"/>
    <col min="2" max="2" width="10.83203125" customWidth="1"/>
    <col min="3" max="3" width="28.33203125" customWidth="1"/>
    <col min="4" max="4" width="47.83203125" customWidth="1"/>
    <col min="5" max="5" width="8.6640625" customWidth="1"/>
    <col min="6" max="6" width="10.83203125" customWidth="1"/>
  </cols>
  <sheetData>
    <row r="1" spans="1:12" ht="23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4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1"/>
      <c r="H4" s="1"/>
      <c r="I4" s="1"/>
      <c r="J4" s="1"/>
      <c r="K4" s="1"/>
      <c r="L4" s="1"/>
    </row>
    <row r="5" spans="1:12">
      <c r="A5" s="1"/>
      <c r="B5" s="6" t="s">
        <v>7</v>
      </c>
      <c r="C5" s="7" t="s">
        <v>8</v>
      </c>
      <c r="D5" s="7" t="s">
        <v>9</v>
      </c>
      <c r="E5" s="7" t="s">
        <v>10</v>
      </c>
      <c r="F5" s="8" t="str">
        <f>IF(COUNTIF(問題1!C:C,"○")&gt;0,COUNTIF(問題1!C:C,"○")&amp;"項目","")</f>
        <v/>
      </c>
      <c r="G5" s="1"/>
      <c r="H5" s="1"/>
      <c r="I5" s="1"/>
      <c r="J5" s="1"/>
      <c r="K5" s="1"/>
      <c r="L5" s="1"/>
    </row>
    <row r="6" spans="1:12" ht="17">
      <c r="A6" s="1"/>
      <c r="B6" s="6" t="s">
        <v>11</v>
      </c>
      <c r="C6" s="7" t="s">
        <v>12</v>
      </c>
      <c r="D6" s="7" t="s">
        <v>13</v>
      </c>
      <c r="E6" s="7" t="s">
        <v>10</v>
      </c>
      <c r="F6" s="8" t="str">
        <f>IF(COUNTIF(問題2!C:C,"○")&gt;0,COUNTIF(問題2!C:C,"○")&amp;"項目","")</f>
        <v/>
      </c>
      <c r="G6" s="1"/>
      <c r="H6" s="1"/>
      <c r="I6" s="1"/>
      <c r="J6" s="1"/>
      <c r="K6" s="1"/>
      <c r="L6" s="1"/>
    </row>
    <row r="7" spans="1:12">
      <c r="A7" s="1"/>
      <c r="B7" s="6" t="s">
        <v>14</v>
      </c>
      <c r="C7" s="7" t="s">
        <v>15</v>
      </c>
      <c r="D7" s="7" t="s">
        <v>16</v>
      </c>
      <c r="E7" s="7" t="s">
        <v>10</v>
      </c>
      <c r="F7" s="8" t="str">
        <f>IF(COUNTIF(問題3!C:C,"○")&gt;0,COUNTIF(問題3!C:C,"○")&amp;"項目","")</f>
        <v/>
      </c>
      <c r="G7" s="1"/>
      <c r="H7" s="1"/>
      <c r="I7" s="1"/>
      <c r="J7" s="1"/>
      <c r="K7" s="1"/>
      <c r="L7" s="1"/>
    </row>
    <row r="8" spans="1:12">
      <c r="A8" s="1"/>
      <c r="B8" s="6" t="s">
        <v>17</v>
      </c>
      <c r="C8" s="7" t="s">
        <v>18</v>
      </c>
      <c r="D8" s="7" t="s">
        <v>19</v>
      </c>
      <c r="E8" s="7" t="s">
        <v>20</v>
      </c>
      <c r="F8" s="8" t="str">
        <f>IF(COUNTIF(問題4!C:C,"○")&gt;0,COUNTIF(問題4!C:C,"○")&amp;"項目","")</f>
        <v/>
      </c>
      <c r="G8" s="1"/>
      <c r="H8" s="1"/>
      <c r="I8" s="1"/>
      <c r="J8" s="1"/>
      <c r="K8" s="1"/>
      <c r="L8" s="1"/>
    </row>
    <row r="9" spans="1:12" ht="17">
      <c r="A9" s="1"/>
      <c r="B9" s="6" t="s">
        <v>21</v>
      </c>
      <c r="C9" s="7" t="s">
        <v>22</v>
      </c>
      <c r="D9" s="7" t="s">
        <v>23</v>
      </c>
      <c r="E9" s="7" t="s">
        <v>20</v>
      </c>
      <c r="F9" s="8" t="str">
        <f>IF(COUNTIF(問題5!C:C,"○")&gt;0,COUNTIF(問題5!C:C,"○")&amp;"項目","")</f>
        <v/>
      </c>
      <c r="G9" s="1"/>
      <c r="H9" s="1"/>
      <c r="I9" s="1"/>
      <c r="J9" s="1"/>
      <c r="K9" s="1"/>
      <c r="L9" s="1"/>
    </row>
    <row r="10" spans="1:12" ht="17">
      <c r="A10" s="1"/>
      <c r="B10" s="6" t="s">
        <v>24</v>
      </c>
      <c r="C10" s="7" t="s">
        <v>25</v>
      </c>
      <c r="D10" s="7" t="s">
        <v>26</v>
      </c>
      <c r="E10" s="7" t="s">
        <v>27</v>
      </c>
      <c r="F10" s="8" t="str">
        <f>IF(COUNTIF(問題6!C:C,"○")&gt;0,COUNTIF(問題6!C:C,"○")&amp;"項目","")</f>
        <v/>
      </c>
      <c r="G10" s="1"/>
      <c r="H10" s="1"/>
      <c r="I10" s="1"/>
      <c r="J10" s="1"/>
      <c r="K10" s="1"/>
      <c r="L10" s="1"/>
    </row>
    <row r="11" spans="1:12" ht="17">
      <c r="A11" s="1"/>
      <c r="B11" s="6" t="s">
        <v>28</v>
      </c>
      <c r="C11" s="7" t="s">
        <v>29</v>
      </c>
      <c r="D11" s="7" t="s">
        <v>30</v>
      </c>
      <c r="E11" s="7" t="s">
        <v>27</v>
      </c>
      <c r="F11" s="8" t="str">
        <f>IF(COUNTIF(問題7!C:C,"○")&gt;0,COUNTIF(問題7!C:C,"○")&amp;"項目","")</f>
        <v/>
      </c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5">
      <c r="A13" s="1"/>
      <c r="B13" s="9" t="s">
        <v>31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7">
      <c r="A14" s="1"/>
      <c r="B14" s="10" t="s">
        <v>32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7">
      <c r="A15" s="1"/>
      <c r="B15" s="10" t="s">
        <v>33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7">
      <c r="A16" s="1"/>
      <c r="B16" s="10" t="s">
        <v>34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7">
      <c r="A17" s="1"/>
      <c r="B17" s="10" t="s">
        <v>35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 t="s">
        <v>36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7">
      <c r="A19" s="1"/>
      <c r="B19" s="1" t="s">
        <v>37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hyperlinks>
    <hyperlink ref="B5" r:id="rId1" location="'問題1'!A1" xr:uid="{00000000-0004-0000-0000-000000000000}"/>
    <hyperlink ref="B6" r:id="rId2" location="'問題2'!A1" xr:uid="{00000000-0004-0000-0000-000001000000}"/>
    <hyperlink ref="B7" r:id="rId3" location="'問題3'!A1" xr:uid="{00000000-0004-0000-0000-000002000000}"/>
    <hyperlink ref="B8" r:id="rId4" location="'問題4'!A1" xr:uid="{00000000-0004-0000-0000-000003000000}"/>
    <hyperlink ref="B9" r:id="rId5" location="'問題5'!A1" xr:uid="{00000000-0004-0000-0000-000004000000}"/>
    <hyperlink ref="B10" r:id="rId6" location="'問題6'!A1" xr:uid="{00000000-0004-0000-0000-000005000000}"/>
    <hyperlink ref="B11" r:id="rId7" location="'問題7'!A1" xr:uid="{00000000-0004-0000-0000-000006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L60"/>
  <sheetViews>
    <sheetView tabSelected="1" zoomScale="162" zoomScaleNormal="100" workbookViewId="0">
      <selection activeCell="E19" sqref="E19"/>
    </sheetView>
  </sheetViews>
  <sheetFormatPr baseColWidth="10" defaultColWidth="9.5" defaultRowHeight="14"/>
  <cols>
    <col min="1" max="1" width="2.1640625" customWidth="1"/>
    <col min="2" max="3" width="15.1640625" customWidth="1"/>
  </cols>
  <sheetData>
    <row r="1" spans="1:12" ht="23">
      <c r="A1" s="1"/>
      <c r="B1" s="11" t="s">
        <v>38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39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12" t="s">
        <v>40</v>
      </c>
      <c r="C4" s="12" t="s">
        <v>41</v>
      </c>
      <c r="D4" s="1"/>
      <c r="E4" s="1"/>
      <c r="F4" s="1"/>
      <c r="G4" s="1"/>
      <c r="H4" s="1"/>
      <c r="I4" s="1"/>
      <c r="J4" s="1"/>
      <c r="K4" s="1"/>
      <c r="L4" s="1"/>
    </row>
    <row r="5" spans="1:12" ht="17">
      <c r="A5" s="1"/>
      <c r="B5" s="7" t="s">
        <v>42</v>
      </c>
      <c r="C5" s="13">
        <v>4200</v>
      </c>
      <c r="D5" s="1"/>
      <c r="E5" s="1"/>
      <c r="F5" s="1"/>
      <c r="G5" s="1"/>
      <c r="H5" s="1"/>
      <c r="I5" s="1"/>
      <c r="J5" s="1"/>
      <c r="K5" s="1"/>
      <c r="L5" s="1"/>
    </row>
    <row r="6" spans="1:12" ht="17">
      <c r="A6" s="1"/>
      <c r="B6" s="7" t="s">
        <v>43</v>
      </c>
      <c r="C6" s="13">
        <v>3100</v>
      </c>
      <c r="D6" s="1"/>
      <c r="E6" s="1"/>
      <c r="F6" s="1"/>
      <c r="G6" s="1"/>
      <c r="H6" s="1"/>
      <c r="I6" s="1"/>
      <c r="J6" s="1"/>
      <c r="K6" s="1"/>
      <c r="L6" s="1"/>
    </row>
    <row r="7" spans="1:12" ht="17">
      <c r="A7" s="1"/>
      <c r="B7" s="7" t="s">
        <v>44</v>
      </c>
      <c r="C7" s="13">
        <v>8600</v>
      </c>
      <c r="D7" s="1"/>
      <c r="E7" s="1"/>
      <c r="F7" s="1"/>
      <c r="G7" s="1"/>
      <c r="H7" s="1"/>
      <c r="I7" s="1"/>
      <c r="J7" s="1"/>
      <c r="K7" s="1"/>
      <c r="L7" s="1"/>
    </row>
    <row r="8" spans="1:12" ht="17">
      <c r="A8" s="1"/>
      <c r="B8" s="7" t="s">
        <v>45</v>
      </c>
      <c r="C8" s="13">
        <v>5400</v>
      </c>
      <c r="D8" s="1"/>
      <c r="E8" s="1"/>
      <c r="F8" s="1"/>
      <c r="G8" s="1"/>
      <c r="H8" s="1"/>
      <c r="I8" s="1"/>
      <c r="J8" s="1"/>
      <c r="K8" s="1"/>
      <c r="L8" s="1"/>
    </row>
    <row r="9" spans="1:12" ht="17">
      <c r="A9" s="1"/>
      <c r="B9" s="7" t="s">
        <v>46</v>
      </c>
      <c r="C9" s="13">
        <v>7300</v>
      </c>
      <c r="D9" s="1"/>
      <c r="E9" s="1"/>
      <c r="F9" s="1"/>
      <c r="G9" s="1"/>
      <c r="H9" s="1"/>
      <c r="I9" s="1"/>
      <c r="J9" s="1"/>
      <c r="K9" s="1"/>
      <c r="L9" s="1"/>
    </row>
    <row r="10" spans="1:12" ht="17">
      <c r="A10" s="1"/>
      <c r="B10" s="7" t="s">
        <v>47</v>
      </c>
      <c r="C10" s="13">
        <v>3900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ht="17">
      <c r="A11" s="1"/>
      <c r="B11" s="14" t="s">
        <v>48</v>
      </c>
      <c r="C11" s="15">
        <f>SUM(C5:C10)</f>
        <v>32500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5">
      <c r="A13" s="1"/>
      <c r="B13" s="9" t="s">
        <v>49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7">
      <c r="A14" s="1"/>
      <c r="B14" s="10" t="s">
        <v>50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7">
      <c r="A15" s="1"/>
      <c r="B15" s="1" t="s">
        <v>51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7">
      <c r="A16" s="1"/>
      <c r="B16" s="1" t="s">
        <v>52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7">
      <c r="A17" s="1"/>
      <c r="B17" s="1" t="s">
        <v>53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9">
      <c r="A19" s="1"/>
      <c r="B19" s="16" t="s">
        <v>54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7">
      <c r="A20" s="1"/>
      <c r="B20" s="17" t="s">
        <v>55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7">
      <c r="A21" s="1"/>
      <c r="B21" s="18" t="s">
        <v>220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8" t="s">
        <v>56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9">
      <c r="A24" s="1"/>
      <c r="B24" s="19" t="s">
        <v>57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 t="s">
        <v>58</v>
      </c>
      <c r="C25" s="2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 t="s">
        <v>59</v>
      </c>
      <c r="C26" s="2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 t="s">
        <v>60</v>
      </c>
      <c r="C27" s="2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4" width="15.1640625" customWidth="1"/>
  </cols>
  <sheetData>
    <row r="1" spans="1:12" ht="23">
      <c r="A1" s="1"/>
      <c r="B1" s="11" t="s">
        <v>61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39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12" t="s">
        <v>62</v>
      </c>
      <c r="C4" s="12" t="s">
        <v>63</v>
      </c>
      <c r="D4" s="12" t="s">
        <v>64</v>
      </c>
      <c r="E4" s="1"/>
      <c r="F4" s="1"/>
      <c r="G4" s="1"/>
      <c r="H4" s="1"/>
      <c r="I4" s="1"/>
      <c r="J4" s="1"/>
      <c r="K4" s="1"/>
      <c r="L4" s="1"/>
    </row>
    <row r="5" spans="1:12" ht="17">
      <c r="A5" s="1"/>
      <c r="B5" s="21" t="s">
        <v>65</v>
      </c>
      <c r="C5" s="13">
        <v>120</v>
      </c>
      <c r="D5" s="13">
        <v>80</v>
      </c>
      <c r="E5" s="1"/>
      <c r="F5" s="1"/>
      <c r="G5" s="1"/>
      <c r="H5" s="1"/>
      <c r="I5" s="1"/>
      <c r="J5" s="1"/>
      <c r="K5" s="1"/>
      <c r="L5" s="1"/>
    </row>
    <row r="6" spans="1:12" ht="17">
      <c r="A6" s="1"/>
      <c r="B6" s="21" t="s">
        <v>66</v>
      </c>
      <c r="C6" s="13">
        <v>115</v>
      </c>
      <c r="D6" s="13">
        <v>95</v>
      </c>
      <c r="E6" s="1"/>
      <c r="F6" s="1"/>
      <c r="G6" s="1"/>
      <c r="H6" s="1"/>
      <c r="I6" s="1"/>
      <c r="J6" s="1"/>
      <c r="K6" s="1"/>
      <c r="L6" s="1"/>
    </row>
    <row r="7" spans="1:12" ht="17">
      <c r="A7" s="1"/>
      <c r="B7" s="21" t="s">
        <v>67</v>
      </c>
      <c r="C7" s="13">
        <v>140</v>
      </c>
      <c r="D7" s="13">
        <v>100</v>
      </c>
      <c r="E7" s="1"/>
      <c r="F7" s="1"/>
      <c r="G7" s="1"/>
      <c r="H7" s="1"/>
      <c r="I7" s="1"/>
      <c r="J7" s="1"/>
      <c r="K7" s="1"/>
      <c r="L7" s="1"/>
    </row>
    <row r="8" spans="1:12" ht="17">
      <c r="A8" s="1"/>
      <c r="B8" s="21" t="s">
        <v>68</v>
      </c>
      <c r="C8" s="13">
        <v>155</v>
      </c>
      <c r="D8" s="13">
        <v>110</v>
      </c>
      <c r="E8" s="1"/>
      <c r="F8" s="1"/>
      <c r="G8" s="1"/>
      <c r="H8" s="1"/>
      <c r="I8" s="1"/>
      <c r="J8" s="1"/>
      <c r="K8" s="1"/>
      <c r="L8" s="1"/>
    </row>
    <row r="9" spans="1:12" ht="17">
      <c r="A9" s="1"/>
      <c r="B9" s="21" t="s">
        <v>69</v>
      </c>
      <c r="C9" s="13">
        <v>170</v>
      </c>
      <c r="D9" s="13">
        <v>105</v>
      </c>
      <c r="E9" s="1"/>
      <c r="F9" s="1"/>
      <c r="G9" s="1"/>
      <c r="H9" s="1"/>
      <c r="I9" s="1"/>
      <c r="J9" s="1"/>
      <c r="K9" s="1"/>
      <c r="L9" s="1"/>
    </row>
    <row r="10" spans="1:12" ht="17">
      <c r="A10" s="1"/>
      <c r="B10" s="21" t="s">
        <v>70</v>
      </c>
      <c r="C10" s="13">
        <v>190</v>
      </c>
      <c r="D10" s="13">
        <v>120</v>
      </c>
      <c r="E10" s="1"/>
      <c r="F10" s="1"/>
      <c r="G10" s="1"/>
      <c r="H10" s="1"/>
      <c r="I10" s="1"/>
      <c r="J10" s="1"/>
      <c r="K10" s="1"/>
      <c r="L10" s="1"/>
    </row>
    <row r="11" spans="1:12" ht="17">
      <c r="A11" s="1"/>
      <c r="B11" s="21" t="s">
        <v>71</v>
      </c>
      <c r="C11" s="13">
        <v>230</v>
      </c>
      <c r="D11" s="13">
        <v>130</v>
      </c>
      <c r="E11" s="1"/>
      <c r="F11" s="1"/>
      <c r="G11" s="1"/>
      <c r="H11" s="1"/>
      <c r="I11" s="1"/>
      <c r="J11" s="1"/>
      <c r="K11" s="1"/>
      <c r="L11" s="1"/>
    </row>
    <row r="12" spans="1:12" ht="17">
      <c r="A12" s="1"/>
      <c r="B12" s="21" t="s">
        <v>72</v>
      </c>
      <c r="C12" s="13">
        <v>250</v>
      </c>
      <c r="D12" s="13">
        <v>125</v>
      </c>
      <c r="E12" s="1"/>
      <c r="F12" s="1"/>
      <c r="G12" s="1"/>
      <c r="H12" s="1"/>
      <c r="I12" s="1"/>
      <c r="J12" s="1"/>
      <c r="K12" s="1"/>
      <c r="L12" s="1"/>
    </row>
    <row r="13" spans="1:12" ht="17">
      <c r="A13" s="1"/>
      <c r="B13" s="21" t="s">
        <v>73</v>
      </c>
      <c r="C13" s="13">
        <v>200</v>
      </c>
      <c r="D13" s="13">
        <v>140</v>
      </c>
      <c r="E13" s="1"/>
      <c r="F13" s="1"/>
      <c r="G13" s="1"/>
      <c r="H13" s="1"/>
      <c r="I13" s="1"/>
      <c r="J13" s="1"/>
      <c r="K13" s="1"/>
      <c r="L13" s="1"/>
    </row>
    <row r="14" spans="1:12" ht="17">
      <c r="A14" s="1"/>
      <c r="B14" s="21" t="s">
        <v>74</v>
      </c>
      <c r="C14" s="13">
        <v>175</v>
      </c>
      <c r="D14" s="13">
        <v>150</v>
      </c>
      <c r="E14" s="1"/>
      <c r="F14" s="1"/>
      <c r="G14" s="1"/>
      <c r="H14" s="1"/>
      <c r="I14" s="1"/>
      <c r="J14" s="1"/>
      <c r="K14" s="1"/>
      <c r="L14" s="1"/>
    </row>
    <row r="15" spans="1:12" ht="17">
      <c r="A15" s="1"/>
      <c r="B15" s="21" t="s">
        <v>75</v>
      </c>
      <c r="C15" s="13">
        <v>160</v>
      </c>
      <c r="D15" s="13">
        <v>165</v>
      </c>
      <c r="E15" s="1"/>
      <c r="F15" s="1"/>
      <c r="G15" s="1"/>
      <c r="H15" s="1"/>
      <c r="I15" s="1"/>
      <c r="J15" s="1"/>
      <c r="K15" s="1"/>
      <c r="L15" s="1"/>
    </row>
    <row r="16" spans="1:12" ht="17">
      <c r="A16" s="1"/>
      <c r="B16" s="21" t="s">
        <v>76</v>
      </c>
      <c r="C16" s="13">
        <v>210</v>
      </c>
      <c r="D16" s="13">
        <v>180</v>
      </c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5">
      <c r="A19" s="1"/>
      <c r="B19" s="9" t="s">
        <v>49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7">
      <c r="A20" s="1"/>
      <c r="B20" s="10" t="s">
        <v>77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7">
      <c r="A21" s="1"/>
      <c r="B21" s="1" t="s">
        <v>78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7">
      <c r="A22" s="1"/>
      <c r="B22" s="1" t="s">
        <v>79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 t="s">
        <v>80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7">
      <c r="A24" s="1"/>
      <c r="B24" s="1" t="s">
        <v>81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9">
      <c r="A26" s="1"/>
      <c r="B26" s="16" t="s">
        <v>54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7">
      <c r="A27" s="1"/>
      <c r="B27" s="17" t="s">
        <v>82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7">
      <c r="A28" s="1"/>
      <c r="B28" s="18" t="s">
        <v>83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7">
      <c r="A29" s="1"/>
      <c r="B29" s="18" t="s">
        <v>84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9">
      <c r="A31" s="1"/>
      <c r="B31" s="19" t="s">
        <v>57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7">
      <c r="A32" s="1"/>
      <c r="B32" s="10" t="s">
        <v>85</v>
      </c>
      <c r="C32" s="20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 t="s">
        <v>86</v>
      </c>
      <c r="C33" s="20"/>
      <c r="D33" s="1"/>
      <c r="E33" s="1"/>
      <c r="F33" s="1"/>
      <c r="G33" s="1"/>
      <c r="H33" s="1"/>
      <c r="I33" s="1"/>
      <c r="J33" s="1"/>
      <c r="K33" s="1"/>
      <c r="L33" s="1"/>
    </row>
    <row r="34" spans="1:12" ht="17">
      <c r="A34" s="1"/>
      <c r="B34" s="1" t="s">
        <v>87</v>
      </c>
      <c r="C34" s="20"/>
      <c r="D34" s="1"/>
      <c r="E34" s="1"/>
      <c r="F34" s="1"/>
      <c r="G34" s="1"/>
      <c r="H34" s="1"/>
      <c r="I34" s="1"/>
      <c r="J34" s="1"/>
      <c r="K34" s="1"/>
      <c r="L34" s="1"/>
    </row>
    <row r="35" spans="1:12" ht="17">
      <c r="A35" s="1"/>
      <c r="B35" s="10" t="s">
        <v>88</v>
      </c>
      <c r="C35" s="20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3" width="15.1640625" customWidth="1"/>
    <col min="4" max="4" width="13" customWidth="1"/>
  </cols>
  <sheetData>
    <row r="1" spans="1:12" ht="23">
      <c r="A1" s="1"/>
      <c r="B1" s="11" t="s">
        <v>89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39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12" t="s">
        <v>90</v>
      </c>
      <c r="C4" s="12" t="s">
        <v>91</v>
      </c>
      <c r="D4" s="5" t="s">
        <v>92</v>
      </c>
      <c r="E4" s="1"/>
      <c r="F4" s="1"/>
      <c r="G4" s="1"/>
      <c r="H4" s="1"/>
      <c r="I4" s="1"/>
      <c r="J4" s="1"/>
      <c r="K4" s="1"/>
      <c r="L4" s="1"/>
    </row>
    <row r="5" spans="1:12" ht="17">
      <c r="A5" s="1"/>
      <c r="B5" s="7" t="s">
        <v>93</v>
      </c>
      <c r="C5" s="13">
        <v>4500</v>
      </c>
      <c r="D5" s="22">
        <f t="shared" ref="D5:D10" si="0">C5/SUM($C$5:$C$10)</f>
        <v>0.5</v>
      </c>
      <c r="E5" s="1"/>
      <c r="F5" s="1"/>
      <c r="G5" s="1"/>
      <c r="H5" s="1"/>
      <c r="I5" s="1"/>
      <c r="J5" s="1"/>
      <c r="K5" s="1"/>
      <c r="L5" s="1"/>
    </row>
    <row r="6" spans="1:12" ht="17">
      <c r="A6" s="1"/>
      <c r="B6" s="7" t="s">
        <v>94</v>
      </c>
      <c r="C6" s="13">
        <v>1800</v>
      </c>
      <c r="D6" s="22">
        <f t="shared" si="0"/>
        <v>0.2</v>
      </c>
      <c r="E6" s="1"/>
      <c r="F6" s="1"/>
      <c r="G6" s="1"/>
      <c r="H6" s="1"/>
      <c r="I6" s="1"/>
      <c r="J6" s="1"/>
      <c r="K6" s="1"/>
      <c r="L6" s="1"/>
    </row>
    <row r="7" spans="1:12" ht="17">
      <c r="A7" s="1"/>
      <c r="B7" s="7" t="s">
        <v>95</v>
      </c>
      <c r="C7" s="13">
        <v>1200</v>
      </c>
      <c r="D7" s="22">
        <f t="shared" si="0"/>
        <v>0.13333333333333333</v>
      </c>
      <c r="E7" s="1"/>
      <c r="F7" s="1"/>
      <c r="G7" s="1"/>
      <c r="H7" s="1"/>
      <c r="I7" s="1"/>
      <c r="J7" s="1"/>
      <c r="K7" s="1"/>
      <c r="L7" s="1"/>
    </row>
    <row r="8" spans="1:12" ht="17">
      <c r="A8" s="1"/>
      <c r="B8" s="7" t="s">
        <v>96</v>
      </c>
      <c r="C8" s="13">
        <v>600</v>
      </c>
      <c r="D8" s="22">
        <f t="shared" si="0"/>
        <v>6.6666666666666666E-2</v>
      </c>
      <c r="E8" s="1"/>
      <c r="F8" s="1"/>
      <c r="G8" s="1"/>
      <c r="H8" s="1"/>
      <c r="I8" s="1"/>
      <c r="J8" s="1"/>
      <c r="K8" s="1"/>
      <c r="L8" s="1"/>
    </row>
    <row r="9" spans="1:12" ht="17">
      <c r="A9" s="1"/>
      <c r="B9" s="7" t="s">
        <v>97</v>
      </c>
      <c r="C9" s="13">
        <v>400</v>
      </c>
      <c r="D9" s="22">
        <f t="shared" si="0"/>
        <v>4.4444444444444446E-2</v>
      </c>
      <c r="E9" s="1"/>
      <c r="F9" s="1"/>
      <c r="G9" s="1"/>
      <c r="H9" s="1"/>
      <c r="I9" s="1"/>
      <c r="J9" s="1"/>
      <c r="K9" s="1"/>
      <c r="L9" s="1"/>
    </row>
    <row r="10" spans="1:12" ht="17">
      <c r="A10" s="1"/>
      <c r="B10" s="7" t="s">
        <v>98</v>
      </c>
      <c r="C10" s="13">
        <v>500</v>
      </c>
      <c r="D10" s="22">
        <f t="shared" si="0"/>
        <v>5.5555555555555552E-2</v>
      </c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5">
      <c r="A13" s="1"/>
      <c r="B13" s="9" t="s">
        <v>49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7">
      <c r="A14" s="1"/>
      <c r="B14" s="10" t="s">
        <v>99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7">
      <c r="A15" s="1"/>
      <c r="B15" s="1" t="s">
        <v>100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 t="s">
        <v>101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 t="s">
        <v>102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7">
      <c r="A18" s="1"/>
      <c r="B18" s="10" t="s">
        <v>103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9">
      <c r="A20" s="1"/>
      <c r="B20" s="16" t="s">
        <v>54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7">
      <c r="A21" s="1"/>
      <c r="B21" s="17" t="s">
        <v>104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7">
      <c r="A22" s="1"/>
      <c r="B22" s="18" t="s">
        <v>105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7">
      <c r="A23" s="1"/>
      <c r="B23" s="18" t="s">
        <v>106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7">
      <c r="A24" s="1"/>
      <c r="B24" s="17" t="s">
        <v>107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9">
      <c r="A26" s="1"/>
      <c r="B26" s="19" t="s">
        <v>57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7">
      <c r="A27" s="1"/>
      <c r="B27" s="1" t="s">
        <v>108</v>
      </c>
      <c r="C27" s="2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 t="s">
        <v>109</v>
      </c>
      <c r="C28" s="20"/>
      <c r="D28" s="1"/>
      <c r="E28" s="1"/>
      <c r="F28" s="1"/>
      <c r="G28" s="1"/>
      <c r="H28" s="1"/>
      <c r="I28" s="1"/>
      <c r="J28" s="1"/>
      <c r="K28" s="1"/>
      <c r="L28" s="1"/>
    </row>
    <row r="29" spans="1:12" ht="17">
      <c r="A29" s="1"/>
      <c r="B29" s="1" t="s">
        <v>110</v>
      </c>
      <c r="C29" s="2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6" width="13" customWidth="1"/>
  </cols>
  <sheetData>
    <row r="1" spans="1:12" ht="23">
      <c r="A1" s="1"/>
      <c r="B1" s="11" t="s">
        <v>111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112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2" t="s">
        <v>113</v>
      </c>
      <c r="C4" s="12" t="s">
        <v>114</v>
      </c>
      <c r="D4" s="12" t="s">
        <v>115</v>
      </c>
      <c r="E4" s="12" t="s">
        <v>116</v>
      </c>
      <c r="F4" s="12" t="s">
        <v>117</v>
      </c>
      <c r="G4" s="1"/>
      <c r="H4" s="1"/>
      <c r="I4" s="1"/>
      <c r="J4" s="1"/>
      <c r="K4" s="1"/>
      <c r="L4" s="1"/>
    </row>
    <row r="5" spans="1:12" ht="17">
      <c r="A5" s="1"/>
      <c r="B5" s="7" t="s">
        <v>118</v>
      </c>
      <c r="C5" s="13">
        <v>320</v>
      </c>
      <c r="D5" s="13">
        <v>210</v>
      </c>
      <c r="E5" s="13">
        <v>150</v>
      </c>
      <c r="F5" s="13">
        <v>90</v>
      </c>
      <c r="G5" s="1"/>
      <c r="H5" s="1"/>
      <c r="I5" s="1"/>
      <c r="J5" s="1"/>
      <c r="K5" s="1"/>
      <c r="L5" s="1"/>
    </row>
    <row r="6" spans="1:12" ht="17">
      <c r="A6" s="1"/>
      <c r="B6" s="7" t="s">
        <v>119</v>
      </c>
      <c r="C6" s="13">
        <v>350</v>
      </c>
      <c r="D6" s="13">
        <v>240</v>
      </c>
      <c r="E6" s="13">
        <v>170</v>
      </c>
      <c r="F6" s="13">
        <v>110</v>
      </c>
      <c r="G6" s="1"/>
      <c r="H6" s="1"/>
      <c r="I6" s="1"/>
      <c r="J6" s="1"/>
      <c r="K6" s="1"/>
      <c r="L6" s="1"/>
    </row>
    <row r="7" spans="1:12" ht="17">
      <c r="A7" s="1"/>
      <c r="B7" s="7" t="s">
        <v>120</v>
      </c>
      <c r="C7" s="13">
        <v>300</v>
      </c>
      <c r="D7" s="13">
        <v>280</v>
      </c>
      <c r="E7" s="13">
        <v>200</v>
      </c>
      <c r="F7" s="13">
        <v>130</v>
      </c>
      <c r="G7" s="1"/>
      <c r="H7" s="1"/>
      <c r="I7" s="1"/>
      <c r="J7" s="1"/>
      <c r="K7" s="1"/>
      <c r="L7" s="1"/>
    </row>
    <row r="8" spans="1:12" ht="17">
      <c r="A8" s="1"/>
      <c r="B8" s="7" t="s">
        <v>121</v>
      </c>
      <c r="C8" s="13">
        <v>410</v>
      </c>
      <c r="D8" s="13">
        <v>300</v>
      </c>
      <c r="E8" s="13">
        <v>220</v>
      </c>
      <c r="F8" s="13">
        <v>160</v>
      </c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5">
      <c r="A11" s="1"/>
      <c r="B11" s="9" t="s">
        <v>49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7">
      <c r="A12" s="1"/>
      <c r="B12" s="10" t="s">
        <v>122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7">
      <c r="A13" s="1"/>
      <c r="B13" s="1" t="s">
        <v>123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7">
      <c r="A14" s="1"/>
      <c r="B14" s="1" t="s">
        <v>124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7">
      <c r="A15" s="1"/>
      <c r="B15" s="1" t="s">
        <v>125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7">
      <c r="A16" s="1"/>
      <c r="B16" s="10" t="s">
        <v>126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9">
      <c r="A18" s="1"/>
      <c r="B18" s="16" t="s">
        <v>54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7">
      <c r="A19" s="1"/>
      <c r="B19" s="17" t="s">
        <v>127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7">
      <c r="A20" s="1"/>
      <c r="B20" s="18" t="s">
        <v>128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7">
      <c r="A21" s="1"/>
      <c r="B21" s="18" t="s">
        <v>129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9">
      <c r="A23" s="1"/>
      <c r="B23" s="19" t="s">
        <v>57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 t="s">
        <v>130</v>
      </c>
      <c r="C24" s="20"/>
      <c r="D24" s="1"/>
      <c r="E24" s="1"/>
      <c r="F24" s="1"/>
      <c r="G24" s="1"/>
      <c r="H24" s="1"/>
      <c r="I24" s="1"/>
      <c r="J24" s="1"/>
      <c r="K24" s="1"/>
      <c r="L24" s="1"/>
    </row>
    <row r="25" spans="1:12" ht="17">
      <c r="A25" s="1"/>
      <c r="B25" s="1" t="s">
        <v>131</v>
      </c>
      <c r="C25" s="2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 t="s">
        <v>132</v>
      </c>
      <c r="C26" s="20"/>
      <c r="D26" s="1"/>
      <c r="E26" s="1"/>
      <c r="F26" s="1"/>
      <c r="G26" s="1"/>
      <c r="H26" s="1"/>
      <c r="I26" s="1"/>
      <c r="J26" s="1"/>
      <c r="K26" s="1"/>
      <c r="L26" s="1"/>
    </row>
    <row r="27" spans="1:12" ht="17">
      <c r="A27" s="1"/>
      <c r="B27" s="10" t="s">
        <v>133</v>
      </c>
      <c r="C27" s="2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3" width="15.1640625" customWidth="1"/>
  </cols>
  <sheetData>
    <row r="1" spans="1:12" ht="23">
      <c r="A1" s="1"/>
      <c r="B1" s="11" t="s">
        <v>134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112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2" t="s">
        <v>135</v>
      </c>
      <c r="C4" s="12" t="s">
        <v>136</v>
      </c>
      <c r="D4" s="1"/>
      <c r="E4" s="1"/>
      <c r="F4" s="1"/>
      <c r="G4" s="1"/>
      <c r="H4" s="1"/>
      <c r="I4" s="1"/>
      <c r="J4" s="1"/>
      <c r="K4" s="1"/>
      <c r="L4" s="1"/>
    </row>
    <row r="5" spans="1:12" ht="17">
      <c r="A5" s="1"/>
      <c r="B5" s="7" t="s">
        <v>137</v>
      </c>
      <c r="C5" s="13">
        <v>820</v>
      </c>
      <c r="D5" s="1"/>
      <c r="E5" s="1"/>
      <c r="F5" s="1"/>
      <c r="G5" s="1"/>
      <c r="H5" s="1"/>
      <c r="I5" s="1"/>
      <c r="J5" s="1"/>
      <c r="K5" s="1"/>
      <c r="L5" s="1"/>
    </row>
    <row r="6" spans="1:12" ht="17">
      <c r="A6" s="1"/>
      <c r="B6" s="7" t="s">
        <v>138</v>
      </c>
      <c r="C6" s="13">
        <v>1340</v>
      </c>
      <c r="D6" s="1"/>
      <c r="E6" s="1"/>
      <c r="F6" s="1"/>
      <c r="G6" s="1"/>
      <c r="H6" s="1"/>
      <c r="I6" s="1"/>
      <c r="J6" s="1"/>
      <c r="K6" s="1"/>
      <c r="L6" s="1"/>
    </row>
    <row r="7" spans="1:12" ht="17">
      <c r="A7" s="1"/>
      <c r="B7" s="7" t="s">
        <v>139</v>
      </c>
      <c r="C7" s="13">
        <v>560</v>
      </c>
      <c r="D7" s="1"/>
      <c r="E7" s="1"/>
      <c r="F7" s="1"/>
      <c r="G7" s="1"/>
      <c r="H7" s="1"/>
      <c r="I7" s="1"/>
      <c r="J7" s="1"/>
      <c r="K7" s="1"/>
      <c r="L7" s="1"/>
    </row>
    <row r="8" spans="1:12" ht="17">
      <c r="A8" s="1"/>
      <c r="B8" s="7" t="s">
        <v>140</v>
      </c>
      <c r="C8" s="13">
        <v>970</v>
      </c>
      <c r="D8" s="1"/>
      <c r="E8" s="1"/>
      <c r="F8" s="1"/>
      <c r="G8" s="1"/>
      <c r="H8" s="1"/>
      <c r="I8" s="1"/>
      <c r="J8" s="1"/>
      <c r="K8" s="1"/>
      <c r="L8" s="1"/>
    </row>
    <row r="9" spans="1:12" ht="17">
      <c r="A9" s="1"/>
      <c r="B9" s="7" t="s">
        <v>141</v>
      </c>
      <c r="C9" s="13">
        <v>310</v>
      </c>
      <c r="D9" s="1"/>
      <c r="E9" s="1"/>
      <c r="F9" s="1"/>
      <c r="G9" s="1"/>
      <c r="H9" s="1"/>
      <c r="I9" s="1"/>
      <c r="J9" s="1"/>
      <c r="K9" s="1"/>
      <c r="L9" s="1"/>
    </row>
    <row r="10" spans="1:12" ht="17">
      <c r="A10" s="1"/>
      <c r="B10" s="7" t="s">
        <v>142</v>
      </c>
      <c r="C10" s="13">
        <v>450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ht="17">
      <c r="A11" s="1"/>
      <c r="B11" s="7" t="s">
        <v>143</v>
      </c>
      <c r="C11" s="13">
        <v>390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ht="17">
      <c r="A12" s="1"/>
      <c r="B12" s="7" t="s">
        <v>144</v>
      </c>
      <c r="C12" s="13">
        <v>1120</v>
      </c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5">
      <c r="A15" s="1"/>
      <c r="B15" s="9" t="s">
        <v>49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7">
      <c r="A16" s="1"/>
      <c r="B16" s="10" t="s">
        <v>145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7">
      <c r="A17" s="1"/>
      <c r="B17" s="1" t="s">
        <v>146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7">
      <c r="A18" s="1"/>
      <c r="B18" s="1" t="s">
        <v>147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 t="s">
        <v>148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9">
      <c r="A21" s="1"/>
      <c r="B21" s="16" t="s">
        <v>54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7">
      <c r="A22" s="1"/>
      <c r="B22" s="17" t="s">
        <v>149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7">
      <c r="A23" s="1"/>
      <c r="B23" s="18" t="s">
        <v>150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7">
      <c r="A24" s="1"/>
      <c r="B24" s="18" t="s">
        <v>151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7">
      <c r="A25" s="1"/>
      <c r="B25" s="18" t="s">
        <v>152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9">
      <c r="A27" s="1"/>
      <c r="B27" s="19" t="s">
        <v>57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7">
      <c r="A28" s="1"/>
      <c r="B28" s="1" t="s">
        <v>153</v>
      </c>
      <c r="C28" s="2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 t="s">
        <v>154</v>
      </c>
      <c r="C29" s="2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5" width="14.1640625" customWidth="1"/>
  </cols>
  <sheetData>
    <row r="1" spans="1:12" ht="23">
      <c r="A1" s="1"/>
      <c r="B1" s="11" t="s">
        <v>155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156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12" t="s">
        <v>157</v>
      </c>
      <c r="C4" s="12" t="s">
        <v>158</v>
      </c>
      <c r="D4" s="12" t="s">
        <v>159</v>
      </c>
      <c r="E4" s="12" t="s">
        <v>160</v>
      </c>
      <c r="F4" s="1"/>
      <c r="G4" s="1"/>
      <c r="H4" s="1"/>
      <c r="I4" s="1"/>
      <c r="J4" s="1"/>
      <c r="K4" s="1"/>
      <c r="L4" s="1"/>
    </row>
    <row r="5" spans="1:12" ht="17">
      <c r="A5" s="1"/>
      <c r="B5" s="21" t="s">
        <v>161</v>
      </c>
      <c r="C5" s="13">
        <v>5200</v>
      </c>
      <c r="D5" s="13">
        <v>312</v>
      </c>
      <c r="E5" s="22">
        <f t="shared" ref="E5:E10" si="0">D5/C5</f>
        <v>0.06</v>
      </c>
      <c r="F5" s="1"/>
      <c r="G5" s="1"/>
      <c r="H5" s="1"/>
      <c r="I5" s="1"/>
      <c r="J5" s="1"/>
      <c r="K5" s="1"/>
      <c r="L5" s="1"/>
    </row>
    <row r="6" spans="1:12" ht="17">
      <c r="A6" s="1"/>
      <c r="B6" s="21" t="s">
        <v>162</v>
      </c>
      <c r="C6" s="13">
        <v>5800</v>
      </c>
      <c r="D6" s="13">
        <v>406</v>
      </c>
      <c r="E6" s="22">
        <f t="shared" si="0"/>
        <v>7.0000000000000007E-2</v>
      </c>
      <c r="F6" s="1"/>
      <c r="G6" s="1"/>
      <c r="H6" s="1"/>
      <c r="I6" s="1"/>
      <c r="J6" s="1"/>
      <c r="K6" s="1"/>
      <c r="L6" s="1"/>
    </row>
    <row r="7" spans="1:12" ht="17">
      <c r="A7" s="1"/>
      <c r="B7" s="21" t="s">
        <v>163</v>
      </c>
      <c r="C7" s="13">
        <v>6100</v>
      </c>
      <c r="D7" s="13">
        <v>366</v>
      </c>
      <c r="E7" s="22">
        <f t="shared" si="0"/>
        <v>0.06</v>
      </c>
      <c r="F7" s="1"/>
      <c r="G7" s="1"/>
      <c r="H7" s="1"/>
      <c r="I7" s="1"/>
      <c r="J7" s="1"/>
      <c r="K7" s="1"/>
      <c r="L7" s="1"/>
    </row>
    <row r="8" spans="1:12" ht="17">
      <c r="A8" s="1"/>
      <c r="B8" s="21" t="s">
        <v>164</v>
      </c>
      <c r="C8" s="13">
        <v>6900</v>
      </c>
      <c r="D8" s="13">
        <v>552</v>
      </c>
      <c r="E8" s="22">
        <f t="shared" si="0"/>
        <v>0.08</v>
      </c>
      <c r="F8" s="1"/>
      <c r="G8" s="1"/>
      <c r="H8" s="1"/>
      <c r="I8" s="1"/>
      <c r="J8" s="1"/>
      <c r="K8" s="1"/>
      <c r="L8" s="1"/>
    </row>
    <row r="9" spans="1:12" ht="17">
      <c r="A9" s="1"/>
      <c r="B9" s="21" t="s">
        <v>165</v>
      </c>
      <c r="C9" s="13">
        <v>7400</v>
      </c>
      <c r="D9" s="13">
        <v>666</v>
      </c>
      <c r="E9" s="22">
        <f t="shared" si="0"/>
        <v>0.09</v>
      </c>
      <c r="F9" s="1"/>
      <c r="G9" s="1"/>
      <c r="H9" s="1"/>
      <c r="I9" s="1"/>
      <c r="J9" s="1"/>
      <c r="K9" s="1"/>
      <c r="L9" s="1"/>
    </row>
    <row r="10" spans="1:12" ht="17">
      <c r="A10" s="1"/>
      <c r="B10" s="21" t="s">
        <v>166</v>
      </c>
      <c r="C10" s="13">
        <v>8200</v>
      </c>
      <c r="D10" s="13">
        <v>820</v>
      </c>
      <c r="E10" s="22">
        <f t="shared" si="0"/>
        <v>0.1</v>
      </c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">
      <c r="A12" s="1"/>
      <c r="B12" s="9" t="s">
        <v>49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7">
      <c r="A13" s="1"/>
      <c r="B13" s="1" t="s">
        <v>167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7">
      <c r="A14" s="1"/>
      <c r="B14" s="1" t="s">
        <v>168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7">
      <c r="A15" s="1"/>
      <c r="B15" s="1" t="s">
        <v>169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7">
      <c r="A16" s="1"/>
      <c r="B16" s="1" t="s">
        <v>170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7">
      <c r="A17" s="1"/>
      <c r="B17" s="1" t="s">
        <v>171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7">
      <c r="A18" s="1"/>
      <c r="B18" s="10" t="s">
        <v>172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9">
      <c r="A20" s="1"/>
      <c r="B20" s="16" t="s">
        <v>54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7">
      <c r="A21" s="1"/>
      <c r="B21" s="17" t="s">
        <v>173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7">
      <c r="A22" s="1"/>
      <c r="B22" s="17" t="s">
        <v>174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7">
      <c r="A23" s="1"/>
      <c r="B23" s="18" t="s">
        <v>175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8" t="s">
        <v>176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9">
      <c r="A26" s="1"/>
      <c r="B26" s="19" t="s">
        <v>57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7">
      <c r="A27" s="1"/>
      <c r="B27" s="1" t="s">
        <v>177</v>
      </c>
      <c r="C27" s="20"/>
      <c r="D27" s="1"/>
      <c r="E27" s="1"/>
      <c r="F27" s="1"/>
      <c r="G27" s="1"/>
      <c r="H27" s="1"/>
      <c r="I27" s="1"/>
      <c r="J27" s="1"/>
      <c r="K27" s="1"/>
      <c r="L27" s="1"/>
    </row>
    <row r="28" spans="1:12" ht="17">
      <c r="A28" s="1"/>
      <c r="B28" s="1" t="s">
        <v>178</v>
      </c>
      <c r="C28" s="2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 t="s">
        <v>179</v>
      </c>
      <c r="C29" s="20"/>
      <c r="D29" s="1"/>
      <c r="E29" s="1"/>
      <c r="F29" s="1"/>
      <c r="G29" s="1"/>
      <c r="H29" s="1"/>
      <c r="I29" s="1"/>
      <c r="J29" s="1"/>
      <c r="K29" s="1"/>
      <c r="L29" s="1"/>
    </row>
    <row r="30" spans="1:12" ht="17">
      <c r="A30" s="1"/>
      <c r="B30" s="10" t="s">
        <v>180</v>
      </c>
      <c r="C30" s="2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4" width="15.1640625" customWidth="1"/>
  </cols>
  <sheetData>
    <row r="1" spans="1:12" ht="23">
      <c r="A1" s="1"/>
      <c r="B1" s="11" t="s">
        <v>181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156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12" t="s">
        <v>182</v>
      </c>
      <c r="C4" s="12" t="s">
        <v>183</v>
      </c>
      <c r="D4" s="12" t="s">
        <v>184</v>
      </c>
      <c r="E4" s="1"/>
      <c r="F4" s="1"/>
      <c r="G4" s="1"/>
      <c r="H4" s="1"/>
      <c r="I4" s="1"/>
      <c r="J4" s="1"/>
      <c r="K4" s="1"/>
      <c r="L4" s="1"/>
    </row>
    <row r="5" spans="1:12" ht="17">
      <c r="A5" s="1"/>
      <c r="B5" s="7" t="s">
        <v>185</v>
      </c>
      <c r="C5" s="13">
        <v>10</v>
      </c>
      <c r="D5" s="13">
        <v>180</v>
      </c>
      <c r="E5" s="1"/>
      <c r="F5" s="1"/>
      <c r="G5" s="1"/>
      <c r="H5" s="1"/>
      <c r="I5" s="1"/>
      <c r="J5" s="1"/>
      <c r="K5" s="1"/>
      <c r="L5" s="1"/>
    </row>
    <row r="6" spans="1:12" ht="17">
      <c r="A6" s="1"/>
      <c r="B6" s="7" t="s">
        <v>186</v>
      </c>
      <c r="C6" s="13">
        <v>15</v>
      </c>
      <c r="D6" s="13">
        <v>210</v>
      </c>
      <c r="E6" s="1"/>
      <c r="F6" s="1"/>
      <c r="G6" s="1"/>
      <c r="H6" s="1"/>
      <c r="I6" s="1"/>
      <c r="J6" s="1"/>
      <c r="K6" s="1"/>
      <c r="L6" s="1"/>
    </row>
    <row r="7" spans="1:12" ht="17">
      <c r="A7" s="1"/>
      <c r="B7" s="7" t="s">
        <v>187</v>
      </c>
      <c r="C7" s="13">
        <v>20</v>
      </c>
      <c r="D7" s="13">
        <v>260</v>
      </c>
      <c r="E7" s="1"/>
      <c r="F7" s="1"/>
      <c r="G7" s="1"/>
      <c r="H7" s="1"/>
      <c r="I7" s="1"/>
      <c r="J7" s="1"/>
      <c r="K7" s="1"/>
      <c r="L7" s="1"/>
    </row>
    <row r="8" spans="1:12" ht="17">
      <c r="A8" s="1"/>
      <c r="B8" s="7" t="s">
        <v>188</v>
      </c>
      <c r="C8" s="13">
        <v>25</v>
      </c>
      <c r="D8" s="13">
        <v>270</v>
      </c>
      <c r="E8" s="1"/>
      <c r="F8" s="1"/>
      <c r="G8" s="1"/>
      <c r="H8" s="1"/>
      <c r="I8" s="1"/>
      <c r="J8" s="1"/>
      <c r="K8" s="1"/>
      <c r="L8" s="1"/>
    </row>
    <row r="9" spans="1:12" ht="17">
      <c r="A9" s="1"/>
      <c r="B9" s="7" t="s">
        <v>189</v>
      </c>
      <c r="C9" s="13">
        <v>30</v>
      </c>
      <c r="D9" s="13">
        <v>320</v>
      </c>
      <c r="E9" s="1"/>
      <c r="F9" s="1"/>
      <c r="G9" s="1"/>
      <c r="H9" s="1"/>
      <c r="I9" s="1"/>
      <c r="J9" s="1"/>
      <c r="K9" s="1"/>
      <c r="L9" s="1"/>
    </row>
    <row r="10" spans="1:12" ht="17">
      <c r="A10" s="1"/>
      <c r="B10" s="7" t="s">
        <v>190</v>
      </c>
      <c r="C10" s="13">
        <v>35</v>
      </c>
      <c r="D10" s="13">
        <v>330</v>
      </c>
      <c r="E10" s="1"/>
      <c r="F10" s="1"/>
      <c r="G10" s="1"/>
      <c r="H10" s="1"/>
      <c r="I10" s="1"/>
      <c r="J10" s="1"/>
      <c r="K10" s="1"/>
      <c r="L10" s="1"/>
    </row>
    <row r="11" spans="1:12" ht="17">
      <c r="A11" s="1"/>
      <c r="B11" s="7" t="s">
        <v>191</v>
      </c>
      <c r="C11" s="13">
        <v>40</v>
      </c>
      <c r="D11" s="13">
        <v>390</v>
      </c>
      <c r="E11" s="1"/>
      <c r="F11" s="1"/>
      <c r="G11" s="1"/>
      <c r="H11" s="1"/>
      <c r="I11" s="1"/>
      <c r="J11" s="1"/>
      <c r="K11" s="1"/>
      <c r="L11" s="1"/>
    </row>
    <row r="12" spans="1:12" ht="17">
      <c r="A12" s="1"/>
      <c r="B12" s="7" t="s">
        <v>192</v>
      </c>
      <c r="C12" s="13">
        <v>45</v>
      </c>
      <c r="D12" s="13">
        <v>400</v>
      </c>
      <c r="E12" s="1"/>
      <c r="F12" s="1"/>
      <c r="G12" s="1"/>
      <c r="H12" s="1"/>
      <c r="I12" s="1"/>
      <c r="J12" s="1"/>
      <c r="K12" s="1"/>
      <c r="L12" s="1"/>
    </row>
    <row r="13" spans="1:12" ht="17">
      <c r="A13" s="1"/>
      <c r="B13" s="7" t="s">
        <v>193</v>
      </c>
      <c r="C13" s="13">
        <v>50</v>
      </c>
      <c r="D13" s="13">
        <v>450</v>
      </c>
      <c r="E13" s="1"/>
      <c r="F13" s="1"/>
      <c r="G13" s="1"/>
      <c r="H13" s="1"/>
      <c r="I13" s="1"/>
      <c r="J13" s="1"/>
      <c r="K13" s="1"/>
      <c r="L13" s="1"/>
    </row>
    <row r="14" spans="1:12" ht="17">
      <c r="A14" s="1"/>
      <c r="B14" s="7" t="s">
        <v>194</v>
      </c>
      <c r="C14" s="13">
        <v>55</v>
      </c>
      <c r="D14" s="13">
        <v>470</v>
      </c>
      <c r="E14" s="1"/>
      <c r="F14" s="1"/>
      <c r="G14" s="1"/>
      <c r="H14" s="1"/>
      <c r="I14" s="1"/>
      <c r="J14" s="1"/>
      <c r="K14" s="1"/>
      <c r="L14" s="1"/>
    </row>
    <row r="15" spans="1:12" ht="17">
      <c r="A15" s="1"/>
      <c r="B15" s="7" t="s">
        <v>195</v>
      </c>
      <c r="C15" s="13">
        <v>60</v>
      </c>
      <c r="D15" s="13">
        <v>500</v>
      </c>
      <c r="E15" s="1"/>
      <c r="F15" s="1"/>
      <c r="G15" s="1"/>
      <c r="H15" s="1"/>
      <c r="I15" s="1"/>
      <c r="J15" s="1"/>
      <c r="K15" s="1"/>
      <c r="L15" s="1"/>
    </row>
    <row r="16" spans="1:12" ht="17">
      <c r="A16" s="1"/>
      <c r="B16" s="7" t="s">
        <v>196</v>
      </c>
      <c r="C16" s="13">
        <v>65</v>
      </c>
      <c r="D16" s="13">
        <v>540</v>
      </c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7">
      <c r="A18" s="1"/>
      <c r="B18" s="14" t="s">
        <v>197</v>
      </c>
      <c r="C18" s="23">
        <f>CORREL(C5:C16,D5:D16)</f>
        <v>0.99687106514144286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ht="17">
      <c r="A19" s="1"/>
      <c r="B19" s="14" t="s">
        <v>198</v>
      </c>
      <c r="C19" s="24">
        <f>SLOPE(D5:D16,C5:C16)</f>
        <v>6.4615384615384617</v>
      </c>
      <c r="D19" s="1"/>
      <c r="E19" s="1"/>
      <c r="F19" s="1"/>
      <c r="G19" s="1"/>
      <c r="H19" s="1"/>
      <c r="I19" s="1"/>
      <c r="J19" s="1"/>
      <c r="K19" s="1"/>
      <c r="L19" s="1"/>
    </row>
    <row r="20" spans="1:12" ht="17">
      <c r="A20" s="1"/>
      <c r="B20" s="14" t="s">
        <v>199</v>
      </c>
      <c r="C20" s="25">
        <f>INTERCEPT(D5:D16,C5:C16)</f>
        <v>117.69230769230768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ht="15">
      <c r="A21" s="1"/>
      <c r="B21" s="9" t="s">
        <v>49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7">
      <c r="A22" s="1"/>
      <c r="B22" s="1" t="s">
        <v>200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7">
      <c r="A23" s="1"/>
      <c r="B23" s="1" t="s">
        <v>201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7">
      <c r="A24" s="1"/>
      <c r="B24" s="1" t="s">
        <v>202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7">
      <c r="A25" s="1"/>
      <c r="B25" s="1" t="s">
        <v>203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9">
      <c r="A27" s="1"/>
      <c r="B27" s="16" t="s">
        <v>54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7">
      <c r="A28" s="1"/>
      <c r="B28" s="17" t="s">
        <v>204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7">
      <c r="A29" s="1"/>
      <c r="B29" s="18" t="s">
        <v>205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7">
      <c r="A30" s="1"/>
      <c r="B30" s="18" t="s">
        <v>206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7">
      <c r="A31" s="1"/>
      <c r="B31" s="17" t="s">
        <v>207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9">
      <c r="A33" s="1"/>
      <c r="B33" s="19" t="s">
        <v>57</v>
      </c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 t="s">
        <v>208</v>
      </c>
      <c r="C34" s="20"/>
      <c r="D34" s="1"/>
      <c r="E34" s="1"/>
      <c r="F34" s="1"/>
      <c r="G34" s="1"/>
      <c r="H34" s="1"/>
      <c r="I34" s="1"/>
      <c r="J34" s="1"/>
      <c r="K34" s="1"/>
      <c r="L34" s="1"/>
    </row>
    <row r="35" spans="1:12" ht="17">
      <c r="A35" s="1"/>
      <c r="B35" s="1" t="s">
        <v>209</v>
      </c>
      <c r="C35" s="20"/>
      <c r="D35" s="1"/>
      <c r="E35" s="1"/>
      <c r="F35" s="1"/>
      <c r="G35" s="1"/>
      <c r="H35" s="1"/>
      <c r="I35" s="1"/>
      <c r="J35" s="1"/>
      <c r="K35" s="1"/>
      <c r="L35" s="1"/>
    </row>
    <row r="36" spans="1:12" ht="17">
      <c r="A36" s="1"/>
      <c r="B36" s="1" t="s">
        <v>210</v>
      </c>
      <c r="C36" s="20"/>
      <c r="D36" s="1"/>
      <c r="E36" s="1"/>
      <c r="F36" s="1"/>
      <c r="G36" s="1"/>
      <c r="H36" s="1"/>
      <c r="I36" s="1"/>
      <c r="J36" s="1"/>
      <c r="K36" s="1"/>
      <c r="L36" s="1"/>
    </row>
    <row r="37" spans="1:12" ht="17">
      <c r="A37" s="1"/>
      <c r="B37" s="10" t="s">
        <v>211</v>
      </c>
      <c r="C37" s="20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L60"/>
  <sheetViews>
    <sheetView zoomScaleNormal="100" workbookViewId="0">
      <selection activeCell="N20" sqref="N20"/>
    </sheetView>
  </sheetViews>
  <sheetFormatPr baseColWidth="10" defaultColWidth="9.5" defaultRowHeight="14"/>
  <cols>
    <col min="1" max="1" width="2.1640625" customWidth="1"/>
    <col min="2" max="3" width="15.1640625" customWidth="1"/>
  </cols>
  <sheetData>
    <row r="1" spans="1:12" ht="23">
      <c r="A1" s="1"/>
      <c r="B1" s="11" t="s">
        <v>212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39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12" t="s">
        <v>40</v>
      </c>
      <c r="C4" s="12" t="s">
        <v>41</v>
      </c>
      <c r="D4" s="1"/>
      <c r="E4" s="1"/>
      <c r="F4" s="1"/>
      <c r="G4" s="1"/>
      <c r="H4" s="1"/>
      <c r="I4" s="1"/>
      <c r="J4" s="1"/>
      <c r="K4" s="1"/>
      <c r="L4" s="1"/>
    </row>
    <row r="5" spans="1:12" ht="17">
      <c r="A5" s="1"/>
      <c r="B5" s="7" t="s">
        <v>42</v>
      </c>
      <c r="C5" s="13">
        <v>4200</v>
      </c>
      <c r="D5" s="1"/>
      <c r="E5" s="1"/>
      <c r="F5" s="1"/>
      <c r="G5" s="1"/>
      <c r="H5" s="1"/>
      <c r="I5" s="1"/>
      <c r="J5" s="1"/>
      <c r="K5" s="1"/>
      <c r="L5" s="1"/>
    </row>
    <row r="6" spans="1:12" ht="17">
      <c r="A6" s="1"/>
      <c r="B6" s="7" t="s">
        <v>43</v>
      </c>
      <c r="C6" s="13">
        <v>3100</v>
      </c>
      <c r="D6" s="1"/>
      <c r="E6" s="1"/>
      <c r="F6" s="1"/>
      <c r="G6" s="1"/>
      <c r="H6" s="1"/>
      <c r="I6" s="1"/>
      <c r="J6" s="1"/>
      <c r="K6" s="1"/>
      <c r="L6" s="1"/>
    </row>
    <row r="7" spans="1:12" ht="17">
      <c r="A7" s="1"/>
      <c r="B7" s="7" t="s">
        <v>44</v>
      </c>
      <c r="C7" s="13">
        <v>8600</v>
      </c>
      <c r="D7" s="1"/>
      <c r="E7" s="1"/>
      <c r="F7" s="1"/>
      <c r="G7" s="1"/>
      <c r="H7" s="1"/>
      <c r="I7" s="1"/>
      <c r="J7" s="1"/>
      <c r="K7" s="1"/>
      <c r="L7" s="1"/>
    </row>
    <row r="8" spans="1:12" ht="17">
      <c r="A8" s="1"/>
      <c r="B8" s="7" t="s">
        <v>45</v>
      </c>
      <c r="C8" s="13">
        <v>5400</v>
      </c>
      <c r="D8" s="1"/>
      <c r="E8" s="1"/>
      <c r="F8" s="1"/>
      <c r="G8" s="1"/>
      <c r="H8" s="1"/>
      <c r="I8" s="1"/>
      <c r="J8" s="1"/>
      <c r="K8" s="1"/>
      <c r="L8" s="1"/>
    </row>
    <row r="9" spans="1:12" ht="17">
      <c r="A9" s="1"/>
      <c r="B9" s="7" t="s">
        <v>46</v>
      </c>
      <c r="C9" s="13">
        <v>7300</v>
      </c>
      <c r="D9" s="1"/>
      <c r="E9" s="1"/>
      <c r="F9" s="1"/>
      <c r="G9" s="1"/>
      <c r="H9" s="1"/>
      <c r="I9" s="1"/>
      <c r="J9" s="1"/>
      <c r="K9" s="1"/>
      <c r="L9" s="1"/>
    </row>
    <row r="10" spans="1:12" ht="17">
      <c r="A10" s="1"/>
      <c r="B10" s="7" t="s">
        <v>47</v>
      </c>
      <c r="C10" s="13">
        <v>3900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ht="17">
      <c r="A11" s="1"/>
      <c r="B11" s="14" t="s">
        <v>48</v>
      </c>
      <c r="C11" s="15">
        <f>SUM(C5:C10)</f>
        <v>32500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4" width="15.1640625" customWidth="1"/>
  </cols>
  <sheetData>
    <row r="1" spans="1:12" ht="23">
      <c r="A1" s="1"/>
      <c r="B1" s="11" t="s">
        <v>213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39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12" t="s">
        <v>62</v>
      </c>
      <c r="C4" s="12" t="s">
        <v>63</v>
      </c>
      <c r="D4" s="12" t="s">
        <v>64</v>
      </c>
      <c r="E4" s="1"/>
      <c r="F4" s="1"/>
      <c r="G4" s="1"/>
      <c r="H4" s="1"/>
      <c r="I4" s="1"/>
      <c r="J4" s="1"/>
      <c r="K4" s="1"/>
      <c r="L4" s="1"/>
    </row>
    <row r="5" spans="1:12" ht="17">
      <c r="A5" s="1"/>
      <c r="B5" s="21" t="s">
        <v>65</v>
      </c>
      <c r="C5" s="13">
        <v>120</v>
      </c>
      <c r="D5" s="13">
        <v>80</v>
      </c>
      <c r="E5" s="1"/>
      <c r="F5" s="1"/>
      <c r="G5" s="1"/>
      <c r="H5" s="1"/>
      <c r="I5" s="1"/>
      <c r="J5" s="1"/>
      <c r="K5" s="1"/>
      <c r="L5" s="1"/>
    </row>
    <row r="6" spans="1:12" ht="17">
      <c r="A6" s="1"/>
      <c r="B6" s="21" t="s">
        <v>66</v>
      </c>
      <c r="C6" s="13">
        <v>115</v>
      </c>
      <c r="D6" s="13">
        <v>95</v>
      </c>
      <c r="E6" s="1"/>
      <c r="F6" s="1"/>
      <c r="G6" s="1"/>
      <c r="H6" s="1"/>
      <c r="I6" s="1"/>
      <c r="J6" s="1"/>
      <c r="K6" s="1"/>
      <c r="L6" s="1"/>
    </row>
    <row r="7" spans="1:12" ht="17">
      <c r="A7" s="1"/>
      <c r="B7" s="21" t="s">
        <v>67</v>
      </c>
      <c r="C7" s="13">
        <v>140</v>
      </c>
      <c r="D7" s="13">
        <v>100</v>
      </c>
      <c r="E7" s="1"/>
      <c r="F7" s="1"/>
      <c r="G7" s="1"/>
      <c r="H7" s="1"/>
      <c r="I7" s="1"/>
      <c r="J7" s="1"/>
      <c r="K7" s="1"/>
      <c r="L7" s="1"/>
    </row>
    <row r="8" spans="1:12" ht="17">
      <c r="A8" s="1"/>
      <c r="B8" s="21" t="s">
        <v>68</v>
      </c>
      <c r="C8" s="13">
        <v>155</v>
      </c>
      <c r="D8" s="13">
        <v>110</v>
      </c>
      <c r="E8" s="1"/>
      <c r="F8" s="1"/>
      <c r="G8" s="1"/>
      <c r="H8" s="1"/>
      <c r="I8" s="1"/>
      <c r="J8" s="1"/>
      <c r="K8" s="1"/>
      <c r="L8" s="1"/>
    </row>
    <row r="9" spans="1:12" ht="17">
      <c r="A9" s="1"/>
      <c r="B9" s="21" t="s">
        <v>69</v>
      </c>
      <c r="C9" s="13">
        <v>170</v>
      </c>
      <c r="D9" s="13">
        <v>105</v>
      </c>
      <c r="E9" s="1"/>
      <c r="F9" s="1"/>
      <c r="G9" s="1"/>
      <c r="H9" s="1"/>
      <c r="I9" s="1"/>
      <c r="J9" s="1"/>
      <c r="K9" s="1"/>
      <c r="L9" s="1"/>
    </row>
    <row r="10" spans="1:12" ht="17">
      <c r="A10" s="1"/>
      <c r="B10" s="21" t="s">
        <v>70</v>
      </c>
      <c r="C10" s="13">
        <v>190</v>
      </c>
      <c r="D10" s="13">
        <v>120</v>
      </c>
      <c r="E10" s="1"/>
      <c r="F10" s="1"/>
      <c r="G10" s="1"/>
      <c r="H10" s="1"/>
      <c r="I10" s="1"/>
      <c r="J10" s="1"/>
      <c r="K10" s="1"/>
      <c r="L10" s="1"/>
    </row>
    <row r="11" spans="1:12" ht="17">
      <c r="A11" s="1"/>
      <c r="B11" s="21" t="s">
        <v>71</v>
      </c>
      <c r="C11" s="13">
        <v>230</v>
      </c>
      <c r="D11" s="13">
        <v>130</v>
      </c>
      <c r="E11" s="1"/>
      <c r="F11" s="1"/>
      <c r="G11" s="1"/>
      <c r="H11" s="1"/>
      <c r="I11" s="1"/>
      <c r="J11" s="1"/>
      <c r="K11" s="1"/>
      <c r="L11" s="1"/>
    </row>
    <row r="12" spans="1:12" ht="17">
      <c r="A12" s="1"/>
      <c r="B12" s="21" t="s">
        <v>72</v>
      </c>
      <c r="C12" s="13">
        <v>250</v>
      </c>
      <c r="D12" s="13">
        <v>125</v>
      </c>
      <c r="E12" s="1"/>
      <c r="F12" s="1"/>
      <c r="G12" s="1"/>
      <c r="H12" s="1"/>
      <c r="I12" s="1"/>
      <c r="J12" s="1"/>
      <c r="K12" s="1"/>
      <c r="L12" s="1"/>
    </row>
    <row r="13" spans="1:12" ht="17">
      <c r="A13" s="1"/>
      <c r="B13" s="21" t="s">
        <v>73</v>
      </c>
      <c r="C13" s="13">
        <v>200</v>
      </c>
      <c r="D13" s="13">
        <v>140</v>
      </c>
      <c r="E13" s="1"/>
      <c r="F13" s="1"/>
      <c r="G13" s="1"/>
      <c r="H13" s="1"/>
      <c r="I13" s="1"/>
      <c r="J13" s="1"/>
      <c r="K13" s="1"/>
      <c r="L13" s="1"/>
    </row>
    <row r="14" spans="1:12" ht="17">
      <c r="A14" s="1"/>
      <c r="B14" s="21" t="s">
        <v>74</v>
      </c>
      <c r="C14" s="13">
        <v>175</v>
      </c>
      <c r="D14" s="13">
        <v>150</v>
      </c>
      <c r="E14" s="1"/>
      <c r="F14" s="1"/>
      <c r="G14" s="1"/>
      <c r="H14" s="1"/>
      <c r="I14" s="1"/>
      <c r="J14" s="1"/>
      <c r="K14" s="1"/>
      <c r="L14" s="1"/>
    </row>
    <row r="15" spans="1:12" ht="17">
      <c r="A15" s="1"/>
      <c r="B15" s="21" t="s">
        <v>75</v>
      </c>
      <c r="C15" s="13">
        <v>160</v>
      </c>
      <c r="D15" s="13">
        <v>165</v>
      </c>
      <c r="E15" s="1"/>
      <c r="F15" s="1"/>
      <c r="G15" s="1"/>
      <c r="H15" s="1"/>
      <c r="I15" s="1"/>
      <c r="J15" s="1"/>
      <c r="K15" s="1"/>
      <c r="L15" s="1"/>
    </row>
    <row r="16" spans="1:12" ht="17">
      <c r="A16" s="1"/>
      <c r="B16" s="21" t="s">
        <v>76</v>
      </c>
      <c r="C16" s="13">
        <v>210</v>
      </c>
      <c r="D16" s="13">
        <v>180</v>
      </c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3" width="15.1640625" customWidth="1"/>
    <col min="4" max="4" width="13" customWidth="1"/>
  </cols>
  <sheetData>
    <row r="1" spans="1:12" ht="23">
      <c r="A1" s="1"/>
      <c r="B1" s="11" t="s">
        <v>214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39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12" t="s">
        <v>90</v>
      </c>
      <c r="C4" s="12" t="s">
        <v>91</v>
      </c>
      <c r="D4" s="5" t="s">
        <v>92</v>
      </c>
      <c r="E4" s="1"/>
      <c r="F4" s="1"/>
      <c r="G4" s="1"/>
      <c r="H4" s="1"/>
      <c r="I4" s="1"/>
      <c r="J4" s="1"/>
      <c r="K4" s="1"/>
      <c r="L4" s="1"/>
    </row>
    <row r="5" spans="1:12" ht="17">
      <c r="A5" s="1"/>
      <c r="B5" s="7" t="s">
        <v>93</v>
      </c>
      <c r="C5" s="13">
        <v>4500</v>
      </c>
      <c r="D5" s="22">
        <f t="shared" ref="D5:D10" si="0">C5/SUM($C$5:$C$10)</f>
        <v>0.5</v>
      </c>
      <c r="E5" s="1"/>
      <c r="F5" s="1"/>
      <c r="G5" s="1"/>
      <c r="H5" s="1"/>
      <c r="I5" s="1"/>
      <c r="J5" s="1"/>
      <c r="K5" s="1"/>
      <c r="L5" s="1"/>
    </row>
    <row r="6" spans="1:12" ht="17">
      <c r="A6" s="1"/>
      <c r="B6" s="7" t="s">
        <v>94</v>
      </c>
      <c r="C6" s="13">
        <v>1800</v>
      </c>
      <c r="D6" s="22">
        <f t="shared" si="0"/>
        <v>0.2</v>
      </c>
      <c r="E6" s="1"/>
      <c r="F6" s="1"/>
      <c r="G6" s="1"/>
      <c r="H6" s="1"/>
      <c r="I6" s="1"/>
      <c r="J6" s="1"/>
      <c r="K6" s="1"/>
      <c r="L6" s="1"/>
    </row>
    <row r="7" spans="1:12" ht="17">
      <c r="A7" s="1"/>
      <c r="B7" s="7" t="s">
        <v>95</v>
      </c>
      <c r="C7" s="13">
        <v>1200</v>
      </c>
      <c r="D7" s="22">
        <f t="shared" si="0"/>
        <v>0.13333333333333333</v>
      </c>
      <c r="E7" s="1"/>
      <c r="F7" s="1"/>
      <c r="G7" s="1"/>
      <c r="H7" s="1"/>
      <c r="I7" s="1"/>
      <c r="J7" s="1"/>
      <c r="K7" s="1"/>
      <c r="L7" s="1"/>
    </row>
    <row r="8" spans="1:12" ht="17">
      <c r="A8" s="1"/>
      <c r="B8" s="7" t="s">
        <v>96</v>
      </c>
      <c r="C8" s="13">
        <v>600</v>
      </c>
      <c r="D8" s="22">
        <f t="shared" si="0"/>
        <v>6.6666666666666666E-2</v>
      </c>
      <c r="E8" s="1"/>
      <c r="F8" s="1"/>
      <c r="G8" s="1"/>
      <c r="H8" s="1"/>
      <c r="I8" s="1"/>
      <c r="J8" s="1"/>
      <c r="K8" s="1"/>
      <c r="L8" s="1"/>
    </row>
    <row r="9" spans="1:12" ht="17">
      <c r="A9" s="1"/>
      <c r="B9" s="7" t="s">
        <v>97</v>
      </c>
      <c r="C9" s="13">
        <v>400</v>
      </c>
      <c r="D9" s="22">
        <f t="shared" si="0"/>
        <v>4.4444444444444446E-2</v>
      </c>
      <c r="E9" s="1"/>
      <c r="F9" s="1"/>
      <c r="G9" s="1"/>
      <c r="H9" s="1"/>
      <c r="I9" s="1"/>
      <c r="J9" s="1"/>
      <c r="K9" s="1"/>
      <c r="L9" s="1"/>
    </row>
    <row r="10" spans="1:12" ht="17">
      <c r="A10" s="1"/>
      <c r="B10" s="7" t="s">
        <v>98</v>
      </c>
      <c r="C10" s="13">
        <v>500</v>
      </c>
      <c r="D10" s="22">
        <f t="shared" si="0"/>
        <v>5.5555555555555552E-2</v>
      </c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6" width="13" customWidth="1"/>
  </cols>
  <sheetData>
    <row r="1" spans="1:12" ht="23">
      <c r="A1" s="1"/>
      <c r="B1" s="11" t="s">
        <v>215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112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2" t="s">
        <v>113</v>
      </c>
      <c r="C4" s="12" t="s">
        <v>114</v>
      </c>
      <c r="D4" s="12" t="s">
        <v>115</v>
      </c>
      <c r="E4" s="12" t="s">
        <v>116</v>
      </c>
      <c r="F4" s="12" t="s">
        <v>117</v>
      </c>
      <c r="G4" s="1"/>
      <c r="H4" s="1"/>
      <c r="I4" s="1"/>
      <c r="J4" s="1"/>
      <c r="K4" s="1"/>
      <c r="L4" s="1"/>
    </row>
    <row r="5" spans="1:12" ht="17">
      <c r="A5" s="1"/>
      <c r="B5" s="7" t="s">
        <v>118</v>
      </c>
      <c r="C5" s="13">
        <v>320</v>
      </c>
      <c r="D5" s="13">
        <v>210</v>
      </c>
      <c r="E5" s="13">
        <v>150</v>
      </c>
      <c r="F5" s="13">
        <v>90</v>
      </c>
      <c r="G5" s="1"/>
      <c r="H5" s="1"/>
      <c r="I5" s="1"/>
      <c r="J5" s="1"/>
      <c r="K5" s="1"/>
      <c r="L5" s="1"/>
    </row>
    <row r="6" spans="1:12" ht="17">
      <c r="A6" s="1"/>
      <c r="B6" s="7" t="s">
        <v>119</v>
      </c>
      <c r="C6" s="13">
        <v>350</v>
      </c>
      <c r="D6" s="13">
        <v>240</v>
      </c>
      <c r="E6" s="13">
        <v>170</v>
      </c>
      <c r="F6" s="13">
        <v>110</v>
      </c>
      <c r="G6" s="1"/>
      <c r="H6" s="1"/>
      <c r="I6" s="1"/>
      <c r="J6" s="1"/>
      <c r="K6" s="1"/>
      <c r="L6" s="1"/>
    </row>
    <row r="7" spans="1:12" ht="17">
      <c r="A7" s="1"/>
      <c r="B7" s="7" t="s">
        <v>120</v>
      </c>
      <c r="C7" s="13">
        <v>300</v>
      </c>
      <c r="D7" s="13">
        <v>280</v>
      </c>
      <c r="E7" s="13">
        <v>200</v>
      </c>
      <c r="F7" s="13">
        <v>130</v>
      </c>
      <c r="G7" s="1"/>
      <c r="H7" s="1"/>
      <c r="I7" s="1"/>
      <c r="J7" s="1"/>
      <c r="K7" s="1"/>
      <c r="L7" s="1"/>
    </row>
    <row r="8" spans="1:12" ht="17">
      <c r="A8" s="1"/>
      <c r="B8" s="7" t="s">
        <v>121</v>
      </c>
      <c r="C8" s="13">
        <v>410</v>
      </c>
      <c r="D8" s="13">
        <v>300</v>
      </c>
      <c r="E8" s="13">
        <v>220</v>
      </c>
      <c r="F8" s="13">
        <v>160</v>
      </c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3" width="15.1640625" customWidth="1"/>
  </cols>
  <sheetData>
    <row r="1" spans="1:12" ht="23">
      <c r="A1" s="1"/>
      <c r="B1" s="11" t="s">
        <v>216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112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2" t="s">
        <v>135</v>
      </c>
      <c r="C4" s="12" t="s">
        <v>136</v>
      </c>
      <c r="D4" s="1"/>
      <c r="E4" s="1"/>
      <c r="F4" s="1"/>
      <c r="G4" s="1"/>
      <c r="H4" s="1"/>
      <c r="I4" s="1"/>
      <c r="J4" s="1"/>
      <c r="K4" s="1"/>
      <c r="L4" s="1"/>
    </row>
    <row r="5" spans="1:12" ht="17">
      <c r="A5" s="1"/>
      <c r="B5" s="7" t="s">
        <v>141</v>
      </c>
      <c r="C5" s="13">
        <v>310</v>
      </c>
      <c r="D5" s="1"/>
      <c r="E5" s="1"/>
      <c r="F5" s="1"/>
      <c r="G5" s="1"/>
      <c r="H5" s="1"/>
      <c r="I5" s="1"/>
      <c r="J5" s="1"/>
      <c r="K5" s="1"/>
      <c r="L5" s="1"/>
    </row>
    <row r="6" spans="1:12" ht="17">
      <c r="A6" s="1"/>
      <c r="B6" s="7" t="s">
        <v>143</v>
      </c>
      <c r="C6" s="13">
        <v>390</v>
      </c>
      <c r="D6" s="1"/>
      <c r="E6" s="1"/>
      <c r="F6" s="1"/>
      <c r="G6" s="1"/>
      <c r="H6" s="1"/>
      <c r="I6" s="1"/>
      <c r="J6" s="1"/>
      <c r="K6" s="1"/>
      <c r="L6" s="1"/>
    </row>
    <row r="7" spans="1:12" ht="17">
      <c r="A7" s="1"/>
      <c r="B7" s="7" t="s">
        <v>142</v>
      </c>
      <c r="C7" s="13">
        <v>450</v>
      </c>
      <c r="D7" s="1"/>
      <c r="E7" s="1"/>
      <c r="F7" s="1"/>
      <c r="G7" s="1"/>
      <c r="H7" s="1"/>
      <c r="I7" s="1"/>
      <c r="J7" s="1"/>
      <c r="K7" s="1"/>
      <c r="L7" s="1"/>
    </row>
    <row r="8" spans="1:12" ht="17">
      <c r="A8" s="1"/>
      <c r="B8" s="7" t="s">
        <v>139</v>
      </c>
      <c r="C8" s="13">
        <v>560</v>
      </c>
      <c r="D8" s="1"/>
      <c r="E8" s="1"/>
      <c r="F8" s="1"/>
      <c r="G8" s="1"/>
      <c r="H8" s="1"/>
      <c r="I8" s="1"/>
      <c r="J8" s="1"/>
      <c r="K8" s="1"/>
      <c r="L8" s="1"/>
    </row>
    <row r="9" spans="1:12" ht="17">
      <c r="A9" s="1"/>
      <c r="B9" s="7" t="s">
        <v>137</v>
      </c>
      <c r="C9" s="13">
        <v>820</v>
      </c>
      <c r="D9" s="1"/>
      <c r="E9" s="1"/>
      <c r="F9" s="1"/>
      <c r="G9" s="1"/>
      <c r="H9" s="1"/>
      <c r="I9" s="1"/>
      <c r="J9" s="1"/>
      <c r="K9" s="1"/>
      <c r="L9" s="1"/>
    </row>
    <row r="10" spans="1:12" ht="17">
      <c r="A10" s="1"/>
      <c r="B10" s="7" t="s">
        <v>140</v>
      </c>
      <c r="C10" s="13">
        <v>970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ht="17">
      <c r="A11" s="1"/>
      <c r="B11" s="7" t="s">
        <v>144</v>
      </c>
      <c r="C11" s="13">
        <v>1120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ht="17">
      <c r="A12" s="1"/>
      <c r="B12" s="7" t="s">
        <v>138</v>
      </c>
      <c r="C12" s="13">
        <v>1340</v>
      </c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7">
      <c r="A14" s="1"/>
      <c r="B14" s="26" t="s">
        <v>217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AD47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5" width="14.1640625" customWidth="1"/>
  </cols>
  <sheetData>
    <row r="1" spans="1:12" ht="23">
      <c r="A1" s="1"/>
      <c r="B1" s="11" t="s">
        <v>218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156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12" t="s">
        <v>157</v>
      </c>
      <c r="C4" s="12" t="s">
        <v>158</v>
      </c>
      <c r="D4" s="12" t="s">
        <v>159</v>
      </c>
      <c r="E4" s="12" t="s">
        <v>160</v>
      </c>
      <c r="F4" s="1"/>
      <c r="G4" s="1"/>
      <c r="H4" s="1"/>
      <c r="I4" s="1"/>
      <c r="J4" s="1"/>
      <c r="K4" s="1"/>
      <c r="L4" s="1"/>
    </row>
    <row r="5" spans="1:12" ht="17">
      <c r="A5" s="1"/>
      <c r="B5" s="21" t="s">
        <v>161</v>
      </c>
      <c r="C5" s="13">
        <v>5200</v>
      </c>
      <c r="D5" s="13">
        <v>312</v>
      </c>
      <c r="E5" s="22">
        <f t="shared" ref="E5:E10" si="0">D5/C5</f>
        <v>0.06</v>
      </c>
      <c r="F5" s="1"/>
      <c r="G5" s="1"/>
      <c r="H5" s="1"/>
      <c r="I5" s="1"/>
      <c r="J5" s="1"/>
      <c r="K5" s="1"/>
      <c r="L5" s="1"/>
    </row>
    <row r="6" spans="1:12" ht="17">
      <c r="A6" s="1"/>
      <c r="B6" s="21" t="s">
        <v>162</v>
      </c>
      <c r="C6" s="13">
        <v>5800</v>
      </c>
      <c r="D6" s="13">
        <v>406</v>
      </c>
      <c r="E6" s="22">
        <f t="shared" si="0"/>
        <v>7.0000000000000007E-2</v>
      </c>
      <c r="F6" s="1"/>
      <c r="G6" s="1"/>
      <c r="H6" s="1"/>
      <c r="I6" s="1"/>
      <c r="J6" s="1"/>
      <c r="K6" s="1"/>
      <c r="L6" s="1"/>
    </row>
    <row r="7" spans="1:12" ht="17">
      <c r="A7" s="1"/>
      <c r="B7" s="21" t="s">
        <v>163</v>
      </c>
      <c r="C7" s="13">
        <v>6100</v>
      </c>
      <c r="D7" s="13">
        <v>366</v>
      </c>
      <c r="E7" s="22">
        <f t="shared" si="0"/>
        <v>0.06</v>
      </c>
      <c r="F7" s="1"/>
      <c r="G7" s="1"/>
      <c r="H7" s="1"/>
      <c r="I7" s="1"/>
      <c r="J7" s="1"/>
      <c r="K7" s="1"/>
      <c r="L7" s="1"/>
    </row>
    <row r="8" spans="1:12" ht="17">
      <c r="A8" s="1"/>
      <c r="B8" s="21" t="s">
        <v>164</v>
      </c>
      <c r="C8" s="13">
        <v>6900</v>
      </c>
      <c r="D8" s="13">
        <v>552</v>
      </c>
      <c r="E8" s="22">
        <f t="shared" si="0"/>
        <v>0.08</v>
      </c>
      <c r="F8" s="1"/>
      <c r="G8" s="1"/>
      <c r="H8" s="1"/>
      <c r="I8" s="1"/>
      <c r="J8" s="1"/>
      <c r="K8" s="1"/>
      <c r="L8" s="1"/>
    </row>
    <row r="9" spans="1:12" ht="17">
      <c r="A9" s="1"/>
      <c r="B9" s="21" t="s">
        <v>165</v>
      </c>
      <c r="C9" s="13">
        <v>7400</v>
      </c>
      <c r="D9" s="13">
        <v>666</v>
      </c>
      <c r="E9" s="22">
        <f t="shared" si="0"/>
        <v>0.09</v>
      </c>
      <c r="F9" s="1"/>
      <c r="G9" s="1"/>
      <c r="H9" s="1"/>
      <c r="I9" s="1"/>
      <c r="J9" s="1"/>
      <c r="K9" s="1"/>
      <c r="L9" s="1"/>
    </row>
    <row r="10" spans="1:12" ht="17">
      <c r="A10" s="1"/>
      <c r="B10" s="21" t="s">
        <v>166</v>
      </c>
      <c r="C10" s="13">
        <v>8200</v>
      </c>
      <c r="D10" s="13">
        <v>820</v>
      </c>
      <c r="E10" s="22">
        <f t="shared" si="0"/>
        <v>0.1</v>
      </c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AD47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4" width="15.1640625" customWidth="1"/>
  </cols>
  <sheetData>
    <row r="1" spans="1:12" ht="23">
      <c r="A1" s="1"/>
      <c r="B1" s="11" t="s">
        <v>219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156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12" t="s">
        <v>182</v>
      </c>
      <c r="C4" s="12" t="s">
        <v>183</v>
      </c>
      <c r="D4" s="12" t="s">
        <v>184</v>
      </c>
      <c r="E4" s="1"/>
      <c r="F4" s="1"/>
      <c r="G4" s="1"/>
      <c r="H4" s="1"/>
      <c r="I4" s="1"/>
      <c r="J4" s="1"/>
      <c r="K4" s="1"/>
      <c r="L4" s="1"/>
    </row>
    <row r="5" spans="1:12" ht="17">
      <c r="A5" s="1"/>
      <c r="B5" s="7" t="s">
        <v>185</v>
      </c>
      <c r="C5" s="13">
        <v>10</v>
      </c>
      <c r="D5" s="13">
        <v>180</v>
      </c>
      <c r="E5" s="1"/>
      <c r="F5" s="1"/>
      <c r="G5" s="1"/>
      <c r="H5" s="1"/>
      <c r="I5" s="1"/>
      <c r="J5" s="1"/>
      <c r="K5" s="1"/>
      <c r="L5" s="1"/>
    </row>
    <row r="6" spans="1:12" ht="17">
      <c r="A6" s="1"/>
      <c r="B6" s="7" t="s">
        <v>186</v>
      </c>
      <c r="C6" s="13">
        <v>15</v>
      </c>
      <c r="D6" s="13">
        <v>210</v>
      </c>
      <c r="E6" s="1"/>
      <c r="F6" s="1"/>
      <c r="G6" s="1"/>
      <c r="H6" s="1"/>
      <c r="I6" s="1"/>
      <c r="J6" s="1"/>
      <c r="K6" s="1"/>
      <c r="L6" s="1"/>
    </row>
    <row r="7" spans="1:12" ht="17">
      <c r="A7" s="1"/>
      <c r="B7" s="7" t="s">
        <v>187</v>
      </c>
      <c r="C7" s="13">
        <v>20</v>
      </c>
      <c r="D7" s="13">
        <v>260</v>
      </c>
      <c r="E7" s="1"/>
      <c r="F7" s="1"/>
      <c r="G7" s="1"/>
      <c r="H7" s="1"/>
      <c r="I7" s="1"/>
      <c r="J7" s="1"/>
      <c r="K7" s="1"/>
      <c r="L7" s="1"/>
    </row>
    <row r="8" spans="1:12" ht="17">
      <c r="A8" s="1"/>
      <c r="B8" s="7" t="s">
        <v>188</v>
      </c>
      <c r="C8" s="13">
        <v>25</v>
      </c>
      <c r="D8" s="13">
        <v>270</v>
      </c>
      <c r="E8" s="1"/>
      <c r="F8" s="1"/>
      <c r="G8" s="1"/>
      <c r="H8" s="1"/>
      <c r="I8" s="1"/>
      <c r="J8" s="1"/>
      <c r="K8" s="1"/>
      <c r="L8" s="1"/>
    </row>
    <row r="9" spans="1:12" ht="17">
      <c r="A9" s="1"/>
      <c r="B9" s="7" t="s">
        <v>189</v>
      </c>
      <c r="C9" s="13">
        <v>30</v>
      </c>
      <c r="D9" s="13">
        <v>320</v>
      </c>
      <c r="E9" s="1"/>
      <c r="F9" s="1"/>
      <c r="G9" s="1"/>
      <c r="H9" s="1"/>
      <c r="I9" s="1"/>
      <c r="J9" s="1"/>
      <c r="K9" s="1"/>
      <c r="L9" s="1"/>
    </row>
    <row r="10" spans="1:12" ht="17">
      <c r="A10" s="1"/>
      <c r="B10" s="7" t="s">
        <v>190</v>
      </c>
      <c r="C10" s="13">
        <v>35</v>
      </c>
      <c r="D10" s="13">
        <v>330</v>
      </c>
      <c r="E10" s="1"/>
      <c r="F10" s="1"/>
      <c r="G10" s="1"/>
      <c r="H10" s="1"/>
      <c r="I10" s="1"/>
      <c r="J10" s="1"/>
      <c r="K10" s="1"/>
      <c r="L10" s="1"/>
    </row>
    <row r="11" spans="1:12" ht="17">
      <c r="A11" s="1"/>
      <c r="B11" s="7" t="s">
        <v>191</v>
      </c>
      <c r="C11" s="13">
        <v>40</v>
      </c>
      <c r="D11" s="13">
        <v>390</v>
      </c>
      <c r="E11" s="1"/>
      <c r="F11" s="1"/>
      <c r="G11" s="1"/>
      <c r="H11" s="1"/>
      <c r="I11" s="1"/>
      <c r="J11" s="1"/>
      <c r="K11" s="1"/>
      <c r="L11" s="1"/>
    </row>
    <row r="12" spans="1:12" ht="17">
      <c r="A12" s="1"/>
      <c r="B12" s="7" t="s">
        <v>192</v>
      </c>
      <c r="C12" s="13">
        <v>45</v>
      </c>
      <c r="D12" s="13">
        <v>400</v>
      </c>
      <c r="E12" s="1"/>
      <c r="F12" s="1"/>
      <c r="G12" s="1"/>
      <c r="H12" s="1"/>
      <c r="I12" s="1"/>
      <c r="J12" s="1"/>
      <c r="K12" s="1"/>
      <c r="L12" s="1"/>
    </row>
    <row r="13" spans="1:12" ht="17">
      <c r="A13" s="1"/>
      <c r="B13" s="7" t="s">
        <v>193</v>
      </c>
      <c r="C13" s="13">
        <v>50</v>
      </c>
      <c r="D13" s="13">
        <v>450</v>
      </c>
      <c r="E13" s="1"/>
      <c r="F13" s="1"/>
      <c r="G13" s="1"/>
      <c r="H13" s="1"/>
      <c r="I13" s="1"/>
      <c r="J13" s="1"/>
      <c r="K13" s="1"/>
      <c r="L13" s="1"/>
    </row>
    <row r="14" spans="1:12" ht="17">
      <c r="A14" s="1"/>
      <c r="B14" s="7" t="s">
        <v>194</v>
      </c>
      <c r="C14" s="13">
        <v>55</v>
      </c>
      <c r="D14" s="13">
        <v>470</v>
      </c>
      <c r="E14" s="1"/>
      <c r="F14" s="1"/>
      <c r="G14" s="1"/>
      <c r="H14" s="1"/>
      <c r="I14" s="1"/>
      <c r="J14" s="1"/>
      <c r="K14" s="1"/>
      <c r="L14" s="1"/>
    </row>
    <row r="15" spans="1:12" ht="17">
      <c r="A15" s="1"/>
      <c r="B15" s="7" t="s">
        <v>195</v>
      </c>
      <c r="C15" s="13">
        <v>60</v>
      </c>
      <c r="D15" s="13">
        <v>500</v>
      </c>
      <c r="E15" s="1"/>
      <c r="F15" s="1"/>
      <c r="G15" s="1"/>
      <c r="H15" s="1"/>
      <c r="I15" s="1"/>
      <c r="J15" s="1"/>
      <c r="K15" s="1"/>
      <c r="L15" s="1"/>
    </row>
    <row r="16" spans="1:12" ht="17">
      <c r="A16" s="1"/>
      <c r="B16" s="7" t="s">
        <v>196</v>
      </c>
      <c r="C16" s="13">
        <v>65</v>
      </c>
      <c r="D16" s="13">
        <v>540</v>
      </c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7">
      <c r="A18" s="1"/>
      <c r="B18" s="14" t="s">
        <v>197</v>
      </c>
      <c r="C18" s="23">
        <f>CORREL(C5:C16,D5:D16)</f>
        <v>0.99687106514144286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ht="17">
      <c r="A19" s="1"/>
      <c r="B19" s="14" t="s">
        <v>198</v>
      </c>
      <c r="C19" s="24">
        <f>SLOPE(D5:D16,C5:C16)</f>
        <v>6.4615384615384617</v>
      </c>
      <c r="D19" s="1"/>
      <c r="E19" s="1"/>
      <c r="F19" s="1"/>
      <c r="G19" s="1"/>
      <c r="H19" s="1"/>
      <c r="I19" s="1"/>
      <c r="J19" s="1"/>
      <c r="K19" s="1"/>
      <c r="L19" s="1"/>
    </row>
    <row r="20" spans="1:12" ht="17">
      <c r="A20" s="1"/>
      <c r="B20" s="14" t="s">
        <v>199</v>
      </c>
      <c r="C20" s="25">
        <f>INTERCEPT(D5:D16,C5:C16)</f>
        <v>117.69230769230768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目次</vt:lpstr>
      <vt:lpstr>問題1</vt:lpstr>
      <vt:lpstr>問題2</vt:lpstr>
      <vt:lpstr>問題3</vt:lpstr>
      <vt:lpstr>問題4</vt:lpstr>
      <vt:lpstr>問題5</vt:lpstr>
      <vt:lpstr>問題6</vt:lpstr>
      <vt:lpstr>問題7</vt:lpstr>
      <vt:lpstr>解答1</vt:lpstr>
      <vt:lpstr>解答2</vt:lpstr>
      <vt:lpstr>解答3</vt:lpstr>
      <vt:lpstr>解答4</vt:lpstr>
      <vt:lpstr>解答5</vt:lpstr>
      <vt:lpstr>解答6</vt:lpstr>
      <vt:lpstr>解答7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ikenoharuhiko</cp:lastModifiedBy>
  <cp:revision>1</cp:revision>
  <dcterms:created xsi:type="dcterms:W3CDTF">2026-09-23T05:23:07Z</dcterms:created>
  <dcterms:modified xsi:type="dcterms:W3CDTF">2026-09-23T09:09:54Z</dcterms:modified>
  <dc:language>ja-JP</dc:language>
</cp:coreProperties>
</file>