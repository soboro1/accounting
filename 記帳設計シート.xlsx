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使い方" sheetId="1" state="visible" r:id="rId3"/>
    <sheet name="設計シート" sheetId="2" state="visible" r:id="rId4"/>
    <sheet name="勘定科目表" sheetId="3" state="visible" r:id="rId5"/>
    <sheet name="決算整理チェック" sheetId="4" state="visible" r:id="rId6"/>
    <sheet name="進捗" sheetId="5" state="visible" r:id="rId7"/>
  </sheets>
  <definedNames>
    <definedName function="false" hidden="true" localSheetId="2" name="_xlnm._FilterDatabase" vbProcedure="false">勘定科目表!$A$4:$H$87</definedName>
    <definedName function="false" hidden="true" localSheetId="1" name="_xlnm._FilterDatabase" vbProcedure="false">設計シート!$A$5:$J$75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<sst xmlns="http://schemas.openxmlformats.org/spreadsheetml/2006/main" count="1015" uniqueCount="613">
  <si>
    <r>
      <rPr>
        <b val="true"/>
        <sz val="18"/>
        <color rgb="FF1F3A5F"/>
        <rFont val="Linux Libertine G"/>
        <family val="2"/>
      </rPr>
      <t xml:space="preserve">記帳設計シート</t>
    </r>
    <r>
      <rPr>
        <b val="true"/>
        <sz val="18"/>
        <color rgb="FF1F3A5F"/>
        <rFont val="游ゴシック"/>
        <family val="0"/>
        <charset val="1"/>
      </rPr>
      <t xml:space="preserve">(</t>
    </r>
    <r>
      <rPr>
        <b val="true"/>
        <sz val="18"/>
        <color rgb="FF1F3A5F"/>
        <rFont val="Linux Libertine G"/>
        <family val="2"/>
      </rPr>
      <t xml:space="preserve">財務諸表の記帳方法の設計図</t>
    </r>
    <r>
      <rPr>
        <b val="true"/>
        <sz val="18"/>
        <color rgb="FF1F3A5F"/>
        <rFont val="游ゴシック"/>
        <family val="0"/>
        <charset val="1"/>
      </rPr>
      <t xml:space="preserve">)</t>
    </r>
  </si>
  <si>
    <r>
      <rPr>
        <sz val="11"/>
        <color rgb="FF4A5D78"/>
        <rFont val="Linux Libertine G"/>
        <family val="2"/>
      </rPr>
      <t xml:space="preserve">会社の記帳ルールを、</t>
    </r>
    <r>
      <rPr>
        <sz val="11"/>
        <color rgb="FF4A5D78"/>
        <rFont val="游ゴシック"/>
        <family val="0"/>
        <charset val="1"/>
      </rPr>
      <t xml:space="preserve">8</t>
    </r>
    <r>
      <rPr>
        <sz val="11"/>
        <color rgb="FF4A5D78"/>
        <rFont val="Linux Libertine G"/>
        <family val="2"/>
      </rPr>
      <t xml:space="preserve">つの領域・</t>
    </r>
    <r>
      <rPr>
        <sz val="11"/>
        <color rgb="FF4A5D78"/>
        <rFont val="游ゴシック"/>
        <family val="0"/>
        <charset val="1"/>
      </rPr>
      <t xml:space="preserve">62</t>
    </r>
    <r>
      <rPr>
        <sz val="11"/>
        <color rgb="FF4A5D78"/>
        <rFont val="Linux Libertine G"/>
        <family val="2"/>
      </rPr>
      <t xml:space="preserve">項目で決めていくためのブックです。</t>
    </r>
  </si>
  <si>
    <t xml:space="preserve">シートの構成</t>
  </si>
  <si>
    <t xml:space="preserve">設計シート</t>
  </si>
  <si>
    <r>
      <rPr>
        <sz val="11"/>
        <color rgb="FF1F3A5F"/>
        <rFont val="游ゴシック"/>
        <family val="0"/>
        <charset val="1"/>
      </rPr>
      <t xml:space="preserve">62</t>
    </r>
    <r>
      <rPr>
        <sz val="11"/>
        <color rgb="FF1F3A5F"/>
        <rFont val="Linux Libertine G"/>
        <family val="2"/>
      </rPr>
      <t xml:space="preserve">項目の設定を記入するメインのシート。選択肢がある項目は、セルを選ぶとリストから選べる</t>
    </r>
  </si>
  <si>
    <t xml:space="preserve">勘定科目表</t>
  </si>
  <si>
    <r>
      <rPr>
        <sz val="11"/>
        <color rgb="FF1F3A5F"/>
        <rFont val="Linux Libertine G"/>
        <family val="2"/>
      </rPr>
      <t xml:space="preserve">使う勘定科目の一覧のひな形。不要な科目は「使う」を</t>
    </r>
    <r>
      <rPr>
        <sz val="11"/>
        <color rgb="FF1F3A5F"/>
        <rFont val="游ゴシック"/>
        <family val="0"/>
        <charset val="1"/>
      </rPr>
      <t xml:space="preserve">×</t>
    </r>
    <r>
      <rPr>
        <sz val="11"/>
        <color rgb="FF1F3A5F"/>
        <rFont val="Linux Libertine G"/>
        <family val="2"/>
      </rPr>
      <t xml:space="preserve">にし、自社の科目を追加する</t>
    </r>
  </si>
  <si>
    <t xml:space="preserve">決算整理チェック</t>
  </si>
  <si>
    <t xml:space="preserve">決算整理事項ごとの仕訳の型と、担当・期限・完了を管理する</t>
  </si>
  <si>
    <t xml:space="preserve">進捗</t>
  </si>
  <si>
    <r>
      <rPr>
        <sz val="11"/>
        <color rgb="FF1F3A5F"/>
        <rFont val="Linux Libertine G"/>
        <family val="2"/>
      </rPr>
      <t xml:space="preserve">領域ごとに、状態を「決定」にした項目の数を自動で集計する</t>
    </r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数式なので記入不要</t>
    </r>
    <r>
      <rPr>
        <sz val="11"/>
        <color rgb="FF1F3A5F"/>
        <rFont val="游ゴシック"/>
        <family val="0"/>
        <charset val="1"/>
      </rPr>
      <t xml:space="preserve">)</t>
    </r>
  </si>
  <si>
    <t xml:space="preserve">記入のルール</t>
  </si>
  <si>
    <t xml:space="preserve">黄色のセル</t>
  </si>
  <si>
    <t xml:space="preserve">記入する欄。それ以外のセルは説明・数式なので、そのままにしておく</t>
  </si>
  <si>
    <t xml:space="preserve">状態</t>
  </si>
  <si>
    <r>
      <rPr>
        <sz val="11"/>
        <color rgb="FF1F3A5F"/>
        <rFont val="Linux Libertine G"/>
        <family val="2"/>
      </rPr>
      <t xml:space="preserve">未着手 → 検討中 → 決定 の</t>
    </r>
    <r>
      <rPr>
        <sz val="11"/>
        <color rgb="FF1F3A5F"/>
        <rFont val="游ゴシック"/>
        <family val="0"/>
        <charset val="1"/>
      </rPr>
      <t xml:space="preserve">3</t>
    </r>
    <r>
      <rPr>
        <sz val="11"/>
        <color rgb="FF1F3A5F"/>
        <rFont val="Linux Libertine G"/>
        <family val="2"/>
      </rPr>
      <t xml:space="preserve">つから選ぶ。「決定」にすると緑色になり、進捗に数えられる</t>
    </r>
  </si>
  <si>
    <t xml:space="preserve">記入例の列</t>
  </si>
  <si>
    <t xml:space="preserve">設計シートの「記入例」は、中小の卸売業を想定した一例。そのまま写さず、自社に合わせて決める</t>
  </si>
  <si>
    <t xml:space="preserve">複数選ぶ項目</t>
  </si>
  <si>
    <r>
      <rPr>
        <sz val="11"/>
        <color rgb="FF1F3A5F"/>
        <rFont val="Linux Libertine G"/>
        <family val="2"/>
      </rPr>
      <t xml:space="preserve">選択肢が複数選べる項目</t>
    </r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「複数可」と書いた項目</t>
    </r>
    <r>
      <rPr>
        <sz val="11"/>
        <color rgb="FF1F3A5F"/>
        <rFont val="游ゴシック"/>
        <family val="0"/>
        <charset val="1"/>
      </rPr>
      <t xml:space="preserve">)</t>
    </r>
    <r>
      <rPr>
        <sz val="11"/>
        <color rgb="FF1F3A5F"/>
        <rFont val="Linux Libertine G"/>
        <family val="2"/>
      </rPr>
      <t xml:space="preserve">は、「・」で区切って入力する</t>
    </r>
  </si>
  <si>
    <t xml:space="preserve">設計の順番</t>
  </si>
  <si>
    <t xml:space="preserve">おすすめの順番</t>
  </si>
  <si>
    <t xml:space="preserve">① 前提条件 → ④ 会計方針 → ③ 勘定科目体系 → ② 帳簿組織 → ⑤ 日常取引の記帳ルール → ⑥ 月次・決算プロセス → ⑦ 財務諸表の表示ルール</t>
  </si>
  <si>
    <t xml:space="preserve">理由</t>
  </si>
  <si>
    <r>
      <rPr>
        <sz val="11"/>
        <color rgb="FF1F3A5F"/>
        <rFont val="Linux Libertine G"/>
        <family val="2"/>
      </rPr>
      <t xml:space="preserve">会計方針を先に決めないと、必要な勘定科目が決まらない。例</t>
    </r>
    <r>
      <rPr>
        <sz val="11"/>
        <color rgb="FF1F3A5F"/>
        <rFont val="游ゴシック"/>
        <family val="0"/>
        <charset val="1"/>
      </rPr>
      <t xml:space="preserve">:</t>
    </r>
    <r>
      <rPr>
        <sz val="11"/>
        <color rgb="FF1F3A5F"/>
        <rFont val="Linux Libertine G"/>
        <family val="2"/>
      </rPr>
      <t xml:space="preserve">売上原価対立法なら「商品」「売上原価」、三分法なら「仕入」「繰越商品」が必要</t>
    </r>
  </si>
  <si>
    <t xml:space="preserve">⑧ 統制・保存・税務</t>
  </si>
  <si>
    <t xml:space="preserve">全工程と並行して整える</t>
  </si>
  <si>
    <t xml:space="preserve">記帳設計シート</t>
  </si>
  <si>
    <t xml:space="preserve">会社名</t>
  </si>
  <si>
    <t xml:space="preserve">決定</t>
  </si>
  <si>
    <t xml:space="preserve">進捗率</t>
  </si>
  <si>
    <t xml:space="preserve">No</t>
  </si>
  <si>
    <t xml:space="preserve">領域</t>
  </si>
  <si>
    <t xml:space="preserve">設定項目</t>
  </si>
  <si>
    <t xml:space="preserve">選択肢</t>
  </si>
  <si>
    <t xml:space="preserve">記入のヒント</t>
  </si>
  <si>
    <t xml:space="preserve">自社の設定</t>
  </si>
  <si>
    <t xml:space="preserve">決めた理由・メモ</t>
  </si>
  <si>
    <t xml:space="preserve">記入例</t>
  </si>
  <si>
    <t xml:space="preserve">仕訳の例</t>
  </si>
  <si>
    <t xml:space="preserve">① 前提条件 ― すべての土台。ここが決まらないと他が決まらない</t>
  </si>
  <si>
    <t xml:space="preserve">1-1</t>
  </si>
  <si>
    <t xml:space="preserve">前提条件</t>
  </si>
  <si>
    <t xml:space="preserve">適用する会計基準</t>
  </si>
  <si>
    <r>
      <rPr>
        <sz val="11"/>
        <color rgb="FF1F3A5F"/>
        <rFont val="Linux Libertine G"/>
        <family val="2"/>
      </rPr>
      <t xml:space="preserve">企業会計基準</t>
    </r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日本基準</t>
    </r>
    <r>
      <rPr>
        <sz val="11"/>
        <color rgb="FF1F3A5F"/>
        <rFont val="游ゴシック"/>
        <family val="0"/>
        <charset val="1"/>
      </rPr>
      <t xml:space="preserve">) / </t>
    </r>
    <r>
      <rPr>
        <sz val="11"/>
        <color rgb="FF1F3A5F"/>
        <rFont val="Linux Libertine G"/>
        <family val="2"/>
      </rPr>
      <t xml:space="preserve">中小企業の会計に関する指針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中小企業の会計に関する基本要領 </t>
    </r>
    <r>
      <rPr>
        <sz val="11"/>
        <color rgb="FF1F3A5F"/>
        <rFont val="游ゴシック"/>
        <family val="0"/>
        <charset val="1"/>
      </rPr>
      <t xml:space="preserve">/ IFRS(</t>
    </r>
    <r>
      <rPr>
        <sz val="11"/>
        <color rgb="FF1F3A5F"/>
        <rFont val="Linux Libertine G"/>
        <family val="2"/>
      </rPr>
      <t xml:space="preserve">国際財務報告基準</t>
    </r>
    <r>
      <rPr>
        <sz val="11"/>
        <color rgb="FF1F3A5F"/>
        <rFont val="游ゴシック"/>
        <family val="0"/>
        <charset val="1"/>
      </rPr>
      <t xml:space="preserve">)</t>
    </r>
  </si>
  <si>
    <t xml:space="preserve">上場会社や会計監査人を置く会社は企業会計基準。中小企業は指針か要領を選ぶことが多い</t>
  </si>
  <si>
    <t xml:space="preserve">未着手</t>
  </si>
  <si>
    <t xml:space="preserve">中小企業の会計に関する指針</t>
  </si>
  <si>
    <t xml:space="preserve">1-2</t>
  </si>
  <si>
    <r>
      <rPr>
        <b val="true"/>
        <sz val="11"/>
        <color rgb="FF1F3A5F"/>
        <rFont val="Linux Libertine G"/>
        <family val="2"/>
      </rPr>
      <t xml:space="preserve">決算日</t>
    </r>
    <r>
      <rPr>
        <b val="true"/>
        <sz val="11"/>
        <color rgb="FF1F3A5F"/>
        <rFont val="游ゴシック"/>
        <family val="0"/>
        <charset val="1"/>
      </rPr>
      <t xml:space="preserve">(</t>
    </r>
    <r>
      <rPr>
        <b val="true"/>
        <sz val="11"/>
        <color rgb="FF1F3A5F"/>
        <rFont val="Linux Libertine G"/>
        <family val="2"/>
      </rPr>
      <t xml:space="preserve">会計期間</t>
    </r>
    <r>
      <rPr>
        <b val="true"/>
        <sz val="11"/>
        <color rgb="FF1F3A5F"/>
        <rFont val="游ゴシック"/>
        <family val="0"/>
        <charset val="1"/>
      </rPr>
      <t xml:space="preserve">)</t>
    </r>
  </si>
  <si>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自由記入</t>
    </r>
    <r>
      <rPr>
        <sz val="11"/>
        <color rgb="FF1F3A5F"/>
        <rFont val="游ゴシック"/>
        <family val="0"/>
        <charset val="1"/>
      </rPr>
      <t xml:space="preserve">)</t>
    </r>
  </si>
  <si>
    <r>
      <rPr>
        <sz val="11"/>
        <color rgb="FF1F3A5F"/>
        <rFont val="Linux Libertine G"/>
        <family val="2"/>
      </rPr>
      <t xml:space="preserve">例</t>
    </r>
    <r>
      <rPr>
        <sz val="11"/>
        <color rgb="FF1F3A5F"/>
        <rFont val="游ゴシック"/>
        <family val="0"/>
        <charset val="1"/>
      </rPr>
      <t xml:space="preserve">:3</t>
    </r>
    <r>
      <rPr>
        <sz val="11"/>
        <color rgb="FF1F3A5F"/>
        <rFont val="Linux Libertine G"/>
        <family val="2"/>
      </rPr>
      <t xml:space="preserve">月</t>
    </r>
    <r>
      <rPr>
        <sz val="11"/>
        <color rgb="FF1F3A5F"/>
        <rFont val="游ゴシック"/>
        <family val="0"/>
        <charset val="1"/>
      </rPr>
      <t xml:space="preserve">31</t>
    </r>
    <r>
      <rPr>
        <sz val="11"/>
        <color rgb="FF1F3A5F"/>
        <rFont val="Linux Libertine G"/>
        <family val="2"/>
      </rPr>
      <t xml:space="preserve">日</t>
    </r>
    <r>
      <rPr>
        <sz val="11"/>
        <color rgb="FF1F3A5F"/>
        <rFont val="游ゴシック"/>
        <family val="0"/>
        <charset val="1"/>
      </rPr>
      <t xml:space="preserve">(4</t>
    </r>
    <r>
      <rPr>
        <sz val="11"/>
        <color rgb="FF1F3A5F"/>
        <rFont val="Linux Libertine G"/>
        <family val="2"/>
      </rPr>
      <t xml:space="preserve">月</t>
    </r>
    <r>
      <rPr>
        <sz val="11"/>
        <color rgb="FF1F3A5F"/>
        <rFont val="游ゴシック"/>
        <family val="0"/>
        <charset val="1"/>
      </rPr>
      <t xml:space="preserve">1</t>
    </r>
    <r>
      <rPr>
        <sz val="11"/>
        <color rgb="FF1F3A5F"/>
        <rFont val="Linux Libertine G"/>
        <family val="2"/>
      </rPr>
      <t xml:space="preserve">日〜翌</t>
    </r>
    <r>
      <rPr>
        <sz val="11"/>
        <color rgb="FF1F3A5F"/>
        <rFont val="游ゴシック"/>
        <family val="0"/>
        <charset val="1"/>
      </rPr>
      <t xml:space="preserve">3</t>
    </r>
    <r>
      <rPr>
        <sz val="11"/>
        <color rgb="FF1F3A5F"/>
        <rFont val="Linux Libertine G"/>
        <family val="2"/>
      </rPr>
      <t xml:space="preserve">月</t>
    </r>
    <r>
      <rPr>
        <sz val="11"/>
        <color rgb="FF1F3A5F"/>
        <rFont val="游ゴシック"/>
        <family val="0"/>
        <charset val="1"/>
      </rPr>
      <t xml:space="preserve">31</t>
    </r>
    <r>
      <rPr>
        <sz val="11"/>
        <color rgb="FF1F3A5F"/>
        <rFont val="Linux Libertine G"/>
        <family val="2"/>
      </rPr>
      <t xml:space="preserve">日</t>
    </r>
    <r>
      <rPr>
        <sz val="11"/>
        <color rgb="FF1F3A5F"/>
        <rFont val="游ゴシック"/>
        <family val="0"/>
        <charset val="1"/>
      </rPr>
      <t xml:space="preserve">)</t>
    </r>
  </si>
  <si>
    <r>
      <rPr>
        <sz val="10"/>
        <color rgb="FF4A5D78"/>
        <rFont val="游ゴシック"/>
        <family val="0"/>
        <charset val="1"/>
      </rPr>
      <t xml:space="preserve">3</t>
    </r>
    <r>
      <rPr>
        <sz val="10"/>
        <color rgb="FF4A5D78"/>
        <rFont val="Linux Libertine G"/>
        <family val="2"/>
      </rPr>
      <t xml:space="preserve">月</t>
    </r>
    <r>
      <rPr>
        <sz val="10"/>
        <color rgb="FF4A5D78"/>
        <rFont val="游ゴシック"/>
        <family val="0"/>
        <charset val="1"/>
      </rPr>
      <t xml:space="preserve">31</t>
    </r>
    <r>
      <rPr>
        <sz val="10"/>
        <color rgb="FF4A5D78"/>
        <rFont val="Linux Libertine G"/>
        <family val="2"/>
      </rPr>
      <t xml:space="preserve">日</t>
    </r>
  </si>
  <si>
    <t xml:space="preserve">1-3</t>
  </si>
  <si>
    <t xml:space="preserve">月次決算</t>
  </si>
  <si>
    <r>
      <rPr>
        <sz val="11"/>
        <color rgb="FF1F3A5F"/>
        <rFont val="Linux Libertine G"/>
        <family val="2"/>
      </rPr>
      <t xml:space="preserve">毎月行う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四半期ごとに行う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年</t>
    </r>
    <r>
      <rPr>
        <sz val="11"/>
        <color rgb="FF1F3A5F"/>
        <rFont val="游ゴシック"/>
        <family val="0"/>
        <charset val="1"/>
      </rPr>
      <t xml:space="preserve">1</t>
    </r>
    <r>
      <rPr>
        <sz val="11"/>
        <color rgb="FF1F3A5F"/>
        <rFont val="Linux Libertine G"/>
        <family val="2"/>
      </rPr>
      <t xml:space="preserve">回の決算だけ</t>
    </r>
  </si>
  <si>
    <t xml:space="preserve">毎月行うと、試算表で業績を早く確認できる</t>
  </si>
  <si>
    <t xml:space="preserve">毎月行う</t>
  </si>
  <si>
    <t xml:space="preserve">1-4</t>
  </si>
  <si>
    <t xml:space="preserve">記帳の単位</t>
  </si>
  <si>
    <r>
      <rPr>
        <sz val="11"/>
        <color rgb="FF1F3A5F"/>
        <rFont val="Linux Libertine G"/>
        <family val="2"/>
      </rPr>
      <t xml:space="preserve">会社全体で</t>
    </r>
    <r>
      <rPr>
        <sz val="11"/>
        <color rgb="FF1F3A5F"/>
        <rFont val="游ゴシック"/>
        <family val="0"/>
        <charset val="1"/>
      </rPr>
      <t xml:space="preserve">1</t>
    </r>
    <r>
      <rPr>
        <sz val="11"/>
        <color rgb="FF1F3A5F"/>
        <rFont val="Linux Libertine G"/>
        <family val="2"/>
      </rPr>
      <t xml:space="preserve">本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本支店会計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部門別会計</t>
    </r>
  </si>
  <si>
    <t xml:space="preserve">支店が独立して記帳するなら本支店会計。決算で本支店合併財務諸表を作る</t>
  </si>
  <si>
    <t xml:space="preserve">部門別会計</t>
  </si>
  <si>
    <t xml:space="preserve">1-5</t>
  </si>
  <si>
    <t xml:space="preserve">消費税の経理方式</t>
  </si>
  <si>
    <r>
      <rPr>
        <sz val="11"/>
        <color rgb="FF1F3A5F"/>
        <rFont val="Linux Libertine G"/>
        <family val="2"/>
      </rPr>
      <t xml:space="preserve">税抜方式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税込方式</t>
    </r>
  </si>
  <si>
    <t xml:space="preserve">税抜方式は消費税を仮払消費税・仮受消費税で分けて記録する。課税事業者は税抜方式が一般的</t>
  </si>
  <si>
    <t xml:space="preserve">税抜方式</t>
  </si>
  <si>
    <r>
      <rPr>
        <sz val="10"/>
        <color rgb="FF1F3A5F"/>
        <rFont val="Linux Libertine G"/>
        <family val="2"/>
      </rPr>
      <t xml:space="preserve">【税抜方式】
商品</t>
    </r>
    <r>
      <rPr>
        <sz val="10"/>
        <color rgb="FF1F3A5F"/>
        <rFont val="游ゴシック"/>
        <family val="0"/>
        <charset val="1"/>
      </rPr>
      <t xml:space="preserve">1,000</t>
    </r>
    <r>
      <rPr>
        <sz val="10"/>
        <color rgb="FF1F3A5F"/>
        <rFont val="Linux Libertine G"/>
        <family val="2"/>
      </rPr>
      <t xml:space="preserve">円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税</t>
    </r>
    <r>
      <rPr>
        <sz val="10"/>
        <color rgb="FF1F3A5F"/>
        <rFont val="游ゴシック"/>
        <family val="0"/>
        <charset val="1"/>
      </rPr>
      <t xml:space="preserve">100</t>
    </r>
    <r>
      <rPr>
        <sz val="10"/>
        <color rgb="FF1F3A5F"/>
        <rFont val="Linux Libertine G"/>
        <family val="2"/>
      </rPr>
      <t xml:space="preserve">円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を掛けで仕入れた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仕入 </t>
    </r>
    <r>
      <rPr>
        <sz val="10"/>
        <color rgb="FF1F3A5F"/>
        <rFont val="游ゴシック"/>
        <family val="0"/>
        <charset val="1"/>
      </rPr>
      <t xml:space="preserve">1,000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買掛金 </t>
    </r>
    <r>
      <rPr>
        <sz val="10"/>
        <color rgb="FF1F3A5F"/>
        <rFont val="游ゴシック"/>
        <family val="0"/>
        <charset val="1"/>
      </rPr>
      <t xml:space="preserve">1,100
  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仮払消費税 </t>
    </r>
    <r>
      <rPr>
        <sz val="10"/>
        <color rgb="FF1F3A5F"/>
        <rFont val="游ゴシック"/>
        <family val="0"/>
        <charset val="1"/>
      </rPr>
      <t xml:space="preserve">100
</t>
    </r>
    <r>
      <rPr>
        <sz val="10"/>
        <color rgb="FF1F3A5F"/>
        <rFont val="Linux Libertine G"/>
        <family val="2"/>
      </rPr>
      <t xml:space="preserve">決算</t>
    </r>
    <r>
      <rPr>
        <sz val="10"/>
        <color rgb="FF1F3A5F"/>
        <rFont val="游ゴシック"/>
        <family val="0"/>
        <charset val="1"/>
      </rPr>
      <t xml:space="preserve">:</t>
    </r>
    <r>
      <rPr>
        <sz val="10"/>
        <color rgb="FF1F3A5F"/>
        <rFont val="Linux Libertine G"/>
        <family val="2"/>
      </rPr>
      <t xml:space="preserve">仮受消費税</t>
    </r>
    <r>
      <rPr>
        <sz val="10"/>
        <color rgb="FF1F3A5F"/>
        <rFont val="游ゴシック"/>
        <family val="0"/>
        <charset val="1"/>
      </rPr>
      <t xml:space="preserve">300</t>
    </r>
    <r>
      <rPr>
        <sz val="10"/>
        <color rgb="FF1F3A5F"/>
        <rFont val="Linux Libertine G"/>
        <family val="2"/>
      </rPr>
      <t xml:space="preserve">・仮払消費税</t>
    </r>
    <r>
      <rPr>
        <sz val="10"/>
        <color rgb="FF1F3A5F"/>
        <rFont val="游ゴシック"/>
        <family val="0"/>
        <charset val="1"/>
      </rPr>
      <t xml:space="preserve">100</t>
    </r>
    <r>
      <rPr>
        <sz val="10"/>
        <color rgb="FF1F3A5F"/>
        <rFont val="Linux Libertine G"/>
        <family val="2"/>
      </rPr>
      <t xml:space="preserve">を相殺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仮受消費税 </t>
    </r>
    <r>
      <rPr>
        <sz val="10"/>
        <color rgb="FF1F3A5F"/>
        <rFont val="游ゴシック"/>
        <family val="0"/>
        <charset val="1"/>
      </rPr>
      <t xml:space="preserve">300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仮払消費税 </t>
    </r>
    <r>
      <rPr>
        <sz val="10"/>
        <color rgb="FF1F3A5F"/>
        <rFont val="游ゴシック"/>
        <family val="0"/>
        <charset val="1"/>
      </rPr>
      <t xml:space="preserve">100
  　　　／　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未払消費税 </t>
    </r>
    <r>
      <rPr>
        <sz val="10"/>
        <color rgb="FF1F3A5F"/>
        <rFont val="游ゴシック"/>
        <family val="0"/>
        <charset val="1"/>
      </rPr>
      <t xml:space="preserve">200
</t>
    </r>
    <r>
      <rPr>
        <sz val="10"/>
        <color rgb="FF1F3A5F"/>
        <rFont val="Linux Libertine G"/>
        <family val="2"/>
      </rPr>
      <t xml:space="preserve">【税込方式】
商品</t>
    </r>
    <r>
      <rPr>
        <sz val="10"/>
        <color rgb="FF1F3A5F"/>
        <rFont val="游ゴシック"/>
        <family val="0"/>
        <charset val="1"/>
      </rPr>
      <t xml:space="preserve">1,000</t>
    </r>
    <r>
      <rPr>
        <sz val="10"/>
        <color rgb="FF1F3A5F"/>
        <rFont val="Linux Libertine G"/>
        <family val="2"/>
      </rPr>
      <t xml:space="preserve">円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税</t>
    </r>
    <r>
      <rPr>
        <sz val="10"/>
        <color rgb="FF1F3A5F"/>
        <rFont val="游ゴシック"/>
        <family val="0"/>
        <charset val="1"/>
      </rPr>
      <t xml:space="preserve">100</t>
    </r>
    <r>
      <rPr>
        <sz val="10"/>
        <color rgb="FF1F3A5F"/>
        <rFont val="Linux Libertine G"/>
        <family val="2"/>
      </rPr>
      <t xml:space="preserve">円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を掛けで仕入れた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仕入 </t>
    </r>
    <r>
      <rPr>
        <sz val="10"/>
        <color rgb="FF1F3A5F"/>
        <rFont val="游ゴシック"/>
        <family val="0"/>
        <charset val="1"/>
      </rPr>
      <t xml:space="preserve">1,100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買掛金 </t>
    </r>
    <r>
      <rPr>
        <sz val="10"/>
        <color rgb="FF1F3A5F"/>
        <rFont val="游ゴシック"/>
        <family val="0"/>
        <charset val="1"/>
      </rPr>
      <t xml:space="preserve">1,100
</t>
    </r>
    <r>
      <rPr>
        <sz val="10"/>
        <color rgb="FF1F3A5F"/>
        <rFont val="Linux Libertine G"/>
        <family val="2"/>
      </rPr>
      <t xml:space="preserve">決算</t>
    </r>
    <r>
      <rPr>
        <sz val="10"/>
        <color rgb="FF1F3A5F"/>
        <rFont val="游ゴシック"/>
        <family val="0"/>
        <charset val="1"/>
      </rPr>
      <t xml:space="preserve">:</t>
    </r>
    <r>
      <rPr>
        <sz val="10"/>
        <color rgb="FF1F3A5F"/>
        <rFont val="Linux Libertine G"/>
        <family val="2"/>
      </rPr>
      <t xml:space="preserve">納付額</t>
    </r>
    <r>
      <rPr>
        <sz val="10"/>
        <color rgb="FF1F3A5F"/>
        <rFont val="游ゴシック"/>
        <family val="0"/>
        <charset val="1"/>
      </rPr>
      <t xml:space="preserve">200</t>
    </r>
    <r>
      <rPr>
        <sz val="10"/>
        <color rgb="FF1F3A5F"/>
        <rFont val="Linux Libertine G"/>
        <family val="2"/>
      </rPr>
      <t xml:space="preserve">を計上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租税公課 </t>
    </r>
    <r>
      <rPr>
        <sz val="10"/>
        <color rgb="FF1F3A5F"/>
        <rFont val="游ゴシック"/>
        <family val="0"/>
        <charset val="1"/>
      </rPr>
      <t xml:space="preserve">200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未払消費税 </t>
    </r>
    <r>
      <rPr>
        <sz val="10"/>
        <color rgb="FF1F3A5F"/>
        <rFont val="游ゴシック"/>
        <family val="0"/>
        <charset val="1"/>
      </rPr>
      <t xml:space="preserve">200</t>
    </r>
  </si>
  <si>
    <t xml:space="preserve">1-6</t>
  </si>
  <si>
    <t xml:space="preserve">消費税の計算方法</t>
  </si>
  <si>
    <r>
      <rPr>
        <sz val="11"/>
        <color rgb="FF1F3A5F"/>
        <rFont val="Linux Libertine G"/>
        <family val="2"/>
      </rPr>
      <t xml:space="preserve">本則課税</t>
    </r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原則課税</t>
    </r>
    <r>
      <rPr>
        <sz val="11"/>
        <color rgb="FF1F3A5F"/>
        <rFont val="游ゴシック"/>
        <family val="0"/>
        <charset val="1"/>
      </rPr>
      <t xml:space="preserve">) / </t>
    </r>
    <r>
      <rPr>
        <sz val="11"/>
        <color rgb="FF1F3A5F"/>
        <rFont val="Linux Libertine G"/>
        <family val="2"/>
      </rPr>
      <t xml:space="preserve">簡易課税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免税事業者</t>
    </r>
  </si>
  <si>
    <r>
      <rPr>
        <sz val="11"/>
        <color rgb="FF1F3A5F"/>
        <rFont val="Linux Libertine G"/>
        <family val="2"/>
      </rPr>
      <t xml:space="preserve">簡易課税は基準期間の課税売上高</t>
    </r>
    <r>
      <rPr>
        <sz val="11"/>
        <color rgb="FF1F3A5F"/>
        <rFont val="游ゴシック"/>
        <family val="0"/>
        <charset val="1"/>
      </rPr>
      <t xml:space="preserve">5,000</t>
    </r>
    <r>
      <rPr>
        <sz val="11"/>
        <color rgb="FF1F3A5F"/>
        <rFont val="Linux Libertine G"/>
        <family val="2"/>
      </rPr>
      <t xml:space="preserve">万円以下で、届出をした場合に選べる</t>
    </r>
  </si>
  <si>
    <r>
      <rPr>
        <sz val="10"/>
        <color rgb="FF4A5D78"/>
        <rFont val="Linux Libertine G"/>
        <family val="2"/>
      </rPr>
      <t xml:space="preserve">本則課税</t>
    </r>
    <r>
      <rPr>
        <sz val="10"/>
        <color rgb="FF4A5D78"/>
        <rFont val="游ゴシック"/>
        <family val="0"/>
        <charset val="1"/>
      </rPr>
      <t xml:space="preserve">(</t>
    </r>
    <r>
      <rPr>
        <sz val="10"/>
        <color rgb="FF4A5D78"/>
        <rFont val="Linux Libertine G"/>
        <family val="2"/>
      </rPr>
      <t xml:space="preserve">原則課税</t>
    </r>
    <r>
      <rPr>
        <sz val="10"/>
        <color rgb="FF4A5D78"/>
        <rFont val="游ゴシック"/>
        <family val="0"/>
        <charset val="1"/>
      </rPr>
      <t xml:space="preserve">)</t>
    </r>
  </si>
  <si>
    <t xml:space="preserve">1-7</t>
  </si>
  <si>
    <r>
      <rPr>
        <b val="true"/>
        <sz val="11"/>
        <color rgb="FF1F3A5F"/>
        <rFont val="Linux Libertine G"/>
        <family val="2"/>
      </rPr>
      <t xml:space="preserve">インボイス</t>
    </r>
    <r>
      <rPr>
        <b val="true"/>
        <sz val="11"/>
        <color rgb="FF1F3A5F"/>
        <rFont val="游ゴシック"/>
        <family val="0"/>
        <charset val="1"/>
      </rPr>
      <t xml:space="preserve">(</t>
    </r>
    <r>
      <rPr>
        <b val="true"/>
        <sz val="11"/>
        <color rgb="FF1F3A5F"/>
        <rFont val="Linux Libertine G"/>
        <family val="2"/>
      </rPr>
      <t xml:space="preserve">適格請求書発行事業者</t>
    </r>
    <r>
      <rPr>
        <b val="true"/>
        <sz val="11"/>
        <color rgb="FF1F3A5F"/>
        <rFont val="游ゴシック"/>
        <family val="0"/>
        <charset val="1"/>
      </rPr>
      <t xml:space="preserve">)</t>
    </r>
  </si>
  <si>
    <r>
      <rPr>
        <sz val="11"/>
        <color rgb="FF1F3A5F"/>
        <rFont val="Linux Libertine G"/>
        <family val="2"/>
      </rPr>
      <t xml:space="preserve">登録している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登録していない</t>
    </r>
  </si>
  <si>
    <t xml:space="preserve">仕入先が未登録の場合、仕入税額控除の経過措置の扱いも決めておく</t>
  </si>
  <si>
    <t xml:space="preserve">登録している</t>
  </si>
  <si>
    <t xml:space="preserve">1-8</t>
  </si>
  <si>
    <t xml:space="preserve">通貨と端数処理</t>
  </si>
  <si>
    <r>
      <rPr>
        <sz val="11"/>
        <color rgb="FF1F3A5F"/>
        <rFont val="Linux Libertine G"/>
        <family val="2"/>
      </rPr>
      <t xml:space="preserve">例</t>
    </r>
    <r>
      <rPr>
        <sz val="11"/>
        <color rgb="FF1F3A5F"/>
        <rFont val="游ゴシック"/>
        <family val="0"/>
        <charset val="1"/>
      </rPr>
      <t xml:space="preserve">:</t>
    </r>
    <r>
      <rPr>
        <sz val="11"/>
        <color rgb="FF1F3A5F"/>
        <rFont val="Linux Libertine G"/>
        <family val="2"/>
      </rPr>
      <t xml:space="preserve">円単位、</t>
    </r>
    <r>
      <rPr>
        <sz val="11"/>
        <color rgb="FF1F3A5F"/>
        <rFont val="游ゴシック"/>
        <family val="0"/>
        <charset val="1"/>
      </rPr>
      <t xml:space="preserve">1</t>
    </r>
    <r>
      <rPr>
        <sz val="11"/>
        <color rgb="FF1F3A5F"/>
        <rFont val="Linux Libertine G"/>
        <family val="2"/>
      </rPr>
      <t xml:space="preserve">円未満は切り捨て</t>
    </r>
  </si>
  <si>
    <r>
      <rPr>
        <sz val="10"/>
        <color rgb="FF4A5D78"/>
        <rFont val="Linux Libertine G"/>
        <family val="2"/>
      </rPr>
      <t xml:space="preserve">円単位・</t>
    </r>
    <r>
      <rPr>
        <sz val="10"/>
        <color rgb="FF4A5D78"/>
        <rFont val="游ゴシック"/>
        <family val="0"/>
        <charset val="1"/>
      </rPr>
      <t xml:space="preserve">1</t>
    </r>
    <r>
      <rPr>
        <sz val="10"/>
        <color rgb="FF4A5D78"/>
        <rFont val="Linux Libertine G"/>
        <family val="2"/>
      </rPr>
      <t xml:space="preserve">円未満切り捨て</t>
    </r>
  </si>
  <si>
    <t xml:space="preserve">② 帳簿組織 ― どの帳簿を置き、どうつなぐか</t>
  </si>
  <si>
    <t xml:space="preserve">2-1</t>
  </si>
  <si>
    <t xml:space="preserve">帳簿組織</t>
  </si>
  <si>
    <t xml:space="preserve">仕訳の起票方法</t>
  </si>
  <si>
    <r>
      <rPr>
        <sz val="11"/>
        <color rgb="FF1F3A5F"/>
        <rFont val="Linux Libertine G"/>
        <family val="2"/>
      </rPr>
      <t xml:space="preserve">仕訳帳に直接記入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会計ソフトに直接入力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三伝票制</t>
    </r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入金・出金・振替</t>
    </r>
    <r>
      <rPr>
        <sz val="11"/>
        <color rgb="FF1F3A5F"/>
        <rFont val="游ゴシック"/>
        <family val="0"/>
        <charset val="1"/>
      </rPr>
      <t xml:space="preserve">) / </t>
    </r>
    <r>
      <rPr>
        <sz val="11"/>
        <color rgb="FF1F3A5F"/>
        <rFont val="Linux Libertine G"/>
        <family val="2"/>
      </rPr>
      <t xml:space="preserve">五伝票制</t>
    </r>
    <r>
      <rPr>
        <sz val="11"/>
        <color rgb="FF1F3A5F"/>
        <rFont val="游ゴシック"/>
        <family val="0"/>
        <charset val="1"/>
      </rPr>
      <t xml:space="preserve">(+</t>
    </r>
    <r>
      <rPr>
        <sz val="11"/>
        <color rgb="FF1F3A5F"/>
        <rFont val="Linux Libertine G"/>
        <family val="2"/>
      </rPr>
      <t xml:space="preserve">売上・仕入</t>
    </r>
    <r>
      <rPr>
        <sz val="11"/>
        <color rgb="FF1F3A5F"/>
        <rFont val="游ゴシック"/>
        <family val="0"/>
        <charset val="1"/>
      </rPr>
      <t xml:space="preserve">)</t>
    </r>
  </si>
  <si>
    <t xml:space="preserve">伝票制にすると、担当者ごとに分けて起票しやすい</t>
  </si>
  <si>
    <t xml:space="preserve">会計ソフトに直接入力</t>
  </si>
  <si>
    <r>
      <rPr>
        <sz val="10"/>
        <color rgb="FF1F3A5F"/>
        <rFont val="Linux Libertine G"/>
        <family val="2"/>
      </rPr>
      <t xml:space="preserve">【三伝票制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入金・出金・振替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】
入金伝票「売掛金 </t>
    </r>
    <r>
      <rPr>
        <sz val="10"/>
        <color rgb="FF1F3A5F"/>
        <rFont val="游ゴシック"/>
        <family val="0"/>
        <charset val="1"/>
      </rPr>
      <t xml:space="preserve">50,000</t>
    </r>
    <r>
      <rPr>
        <sz val="10"/>
        <color rgb="FF1F3A5F"/>
        <rFont val="Linux Libertine G"/>
        <family val="2"/>
      </rPr>
      <t xml:space="preserve">」の意味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現金 </t>
    </r>
    <r>
      <rPr>
        <sz val="10"/>
        <color rgb="FF1F3A5F"/>
        <rFont val="游ゴシック"/>
        <family val="0"/>
        <charset val="1"/>
      </rPr>
      <t xml:space="preserve">50,000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売掛金 </t>
    </r>
    <r>
      <rPr>
        <sz val="10"/>
        <color rgb="FF1F3A5F"/>
        <rFont val="游ゴシック"/>
        <family val="0"/>
        <charset val="1"/>
      </rPr>
      <t xml:space="preserve">50,000
</t>
    </r>
    <r>
      <rPr>
        <sz val="10"/>
        <color rgb="FF1F3A5F"/>
        <rFont val="Linux Libertine G"/>
        <family val="2"/>
      </rPr>
      <t xml:space="preserve">出金伝票「旅費交通費 </t>
    </r>
    <r>
      <rPr>
        <sz val="10"/>
        <color rgb="FF1F3A5F"/>
        <rFont val="游ゴシック"/>
        <family val="0"/>
        <charset val="1"/>
      </rPr>
      <t xml:space="preserve">3,000</t>
    </r>
    <r>
      <rPr>
        <sz val="10"/>
        <color rgb="FF1F3A5F"/>
        <rFont val="Linux Libertine G"/>
        <family val="2"/>
      </rPr>
      <t xml:space="preserve">」の意味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旅費交通費 </t>
    </r>
    <r>
      <rPr>
        <sz val="10"/>
        <color rgb="FF1F3A5F"/>
        <rFont val="游ゴシック"/>
        <family val="0"/>
        <charset val="1"/>
      </rPr>
      <t xml:space="preserve">3,000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現金 </t>
    </r>
    <r>
      <rPr>
        <sz val="10"/>
        <color rgb="FF1F3A5F"/>
        <rFont val="游ゴシック"/>
        <family val="0"/>
        <charset val="1"/>
      </rPr>
      <t xml:space="preserve">3,000
</t>
    </r>
    <r>
      <rPr>
        <sz val="10"/>
        <color rgb="FF1F3A5F"/>
        <rFont val="Linux Libertine G"/>
        <family val="2"/>
      </rPr>
      <t xml:space="preserve">【五伝票制</t>
    </r>
    <r>
      <rPr>
        <sz val="10"/>
        <color rgb="FF1F3A5F"/>
        <rFont val="游ゴシック"/>
        <family val="0"/>
        <charset val="1"/>
      </rPr>
      <t xml:space="preserve">(+</t>
    </r>
    <r>
      <rPr>
        <sz val="10"/>
        <color rgb="FF1F3A5F"/>
        <rFont val="Linux Libertine G"/>
        <family val="2"/>
      </rPr>
      <t xml:space="preserve">売上・仕入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】
売上伝票「</t>
    </r>
    <r>
      <rPr>
        <sz val="10"/>
        <color rgb="FF1F3A5F"/>
        <rFont val="游ゴシック"/>
        <family val="0"/>
        <charset val="1"/>
      </rPr>
      <t xml:space="preserve">A</t>
    </r>
    <r>
      <rPr>
        <sz val="10"/>
        <color rgb="FF1F3A5F"/>
        <rFont val="Linux Libertine G"/>
        <family val="2"/>
      </rPr>
      <t xml:space="preserve">社 </t>
    </r>
    <r>
      <rPr>
        <sz val="10"/>
        <color rgb="FF1F3A5F"/>
        <rFont val="游ゴシック"/>
        <family val="0"/>
        <charset val="1"/>
      </rPr>
      <t xml:space="preserve">80,000</t>
    </r>
    <r>
      <rPr>
        <sz val="10"/>
        <color rgb="FF1F3A5F"/>
        <rFont val="Linux Libertine G"/>
        <family val="2"/>
      </rPr>
      <t xml:space="preserve">」の意味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すべて掛けとして起票</t>
    </r>
    <r>
      <rPr>
        <sz val="10"/>
        <color rgb="FF1F3A5F"/>
        <rFont val="游ゴシック"/>
        <family val="0"/>
        <charset val="1"/>
      </rPr>
      <t xml:space="preserve">)
  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売掛金 </t>
    </r>
    <r>
      <rPr>
        <sz val="10"/>
        <color rgb="FF1F3A5F"/>
        <rFont val="游ゴシック"/>
        <family val="0"/>
        <charset val="1"/>
      </rPr>
      <t xml:space="preserve">80,000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売上 </t>
    </r>
    <r>
      <rPr>
        <sz val="10"/>
        <color rgb="FF1F3A5F"/>
        <rFont val="游ゴシック"/>
        <family val="0"/>
        <charset val="1"/>
      </rPr>
      <t xml:space="preserve">80,000</t>
    </r>
  </si>
  <si>
    <t xml:space="preserve">2-2</t>
  </si>
  <si>
    <t xml:space="preserve">一部現金取引の起票</t>
  </si>
  <si>
    <r>
      <rPr>
        <sz val="11"/>
        <color rgb="FF1F3A5F"/>
        <rFont val="Linux Libertine G"/>
        <family val="2"/>
      </rPr>
      <t xml:space="preserve">取引を分解して起票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いったん全額掛けとして起票</t>
    </r>
  </si>
  <si>
    <r>
      <rPr>
        <sz val="11"/>
        <color rgb="FF1F3A5F"/>
        <rFont val="Linux Libertine G"/>
        <family val="2"/>
      </rPr>
      <t xml:space="preserve">例</t>
    </r>
    <r>
      <rPr>
        <sz val="11"/>
        <color rgb="FF1F3A5F"/>
        <rFont val="游ゴシック"/>
        <family val="0"/>
        <charset val="1"/>
      </rPr>
      <t xml:space="preserve">:</t>
    </r>
    <r>
      <rPr>
        <sz val="11"/>
        <color rgb="FF1F3A5F"/>
        <rFont val="Linux Libertine G"/>
        <family val="2"/>
      </rPr>
      <t xml:space="preserve">売上</t>
    </r>
    <r>
      <rPr>
        <sz val="11"/>
        <color rgb="FF1F3A5F"/>
        <rFont val="游ゴシック"/>
        <family val="0"/>
        <charset val="1"/>
      </rPr>
      <t xml:space="preserve">100,000</t>
    </r>
    <r>
      <rPr>
        <sz val="11"/>
        <color rgb="FF1F3A5F"/>
        <rFont val="Linux Libertine G"/>
        <family val="2"/>
      </rPr>
      <t xml:space="preserve">のうち</t>
    </r>
    <r>
      <rPr>
        <sz val="11"/>
        <color rgb="FF1F3A5F"/>
        <rFont val="游ゴシック"/>
        <family val="0"/>
        <charset val="1"/>
      </rPr>
      <t xml:space="preserve">30,000</t>
    </r>
    <r>
      <rPr>
        <sz val="11"/>
        <color rgb="FF1F3A5F"/>
        <rFont val="Linux Libertine G"/>
        <family val="2"/>
      </rPr>
      <t xml:space="preserve">を現金で受け取り、残りは掛け。伝票制を使うときに決める</t>
    </r>
  </si>
  <si>
    <t xml:space="preserve">いったん全額掛けとして起票</t>
  </si>
  <si>
    <r>
      <rPr>
        <sz val="10"/>
        <color rgb="FF1F3A5F"/>
        <rFont val="Linux Libertine G"/>
        <family val="2"/>
      </rPr>
      <t xml:space="preserve">【取引を分解して起票】
入金伝票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現金 </t>
    </r>
    <r>
      <rPr>
        <sz val="10"/>
        <color rgb="FF1F3A5F"/>
        <rFont val="游ゴシック"/>
        <family val="0"/>
        <charset val="1"/>
      </rPr>
      <t xml:space="preserve">30,000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売上 </t>
    </r>
    <r>
      <rPr>
        <sz val="10"/>
        <color rgb="FF1F3A5F"/>
        <rFont val="游ゴシック"/>
        <family val="0"/>
        <charset val="1"/>
      </rPr>
      <t xml:space="preserve">30,000
</t>
    </r>
    <r>
      <rPr>
        <sz val="10"/>
        <color rgb="FF1F3A5F"/>
        <rFont val="Linux Libertine G"/>
        <family val="2"/>
      </rPr>
      <t xml:space="preserve">振替伝票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売掛金 </t>
    </r>
    <r>
      <rPr>
        <sz val="10"/>
        <color rgb="FF1F3A5F"/>
        <rFont val="游ゴシック"/>
        <family val="0"/>
        <charset val="1"/>
      </rPr>
      <t xml:space="preserve">70,000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売上 </t>
    </r>
    <r>
      <rPr>
        <sz val="10"/>
        <color rgb="FF1F3A5F"/>
        <rFont val="游ゴシック"/>
        <family val="0"/>
        <charset val="1"/>
      </rPr>
      <t xml:space="preserve">70,000
</t>
    </r>
    <r>
      <rPr>
        <sz val="10"/>
        <color rgb="FF1F3A5F"/>
        <rFont val="Linux Libertine G"/>
        <family val="2"/>
      </rPr>
      <t xml:space="preserve">【いったん全額掛けとして起票】
振替伝票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売掛金 </t>
    </r>
    <r>
      <rPr>
        <sz val="10"/>
        <color rgb="FF1F3A5F"/>
        <rFont val="游ゴシック"/>
        <family val="0"/>
        <charset val="1"/>
      </rPr>
      <t xml:space="preserve">100,000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売上 </t>
    </r>
    <r>
      <rPr>
        <sz val="10"/>
        <color rgb="FF1F3A5F"/>
        <rFont val="游ゴシック"/>
        <family val="0"/>
        <charset val="1"/>
      </rPr>
      <t xml:space="preserve">100,000
</t>
    </r>
    <r>
      <rPr>
        <sz val="10"/>
        <color rgb="FF1F3A5F"/>
        <rFont val="Linux Libertine G"/>
        <family val="2"/>
      </rPr>
      <t xml:space="preserve">入金伝票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現金 </t>
    </r>
    <r>
      <rPr>
        <sz val="10"/>
        <color rgb="FF1F3A5F"/>
        <rFont val="游ゴシック"/>
        <family val="0"/>
        <charset val="1"/>
      </rPr>
      <t xml:space="preserve">30,000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売掛金 </t>
    </r>
    <r>
      <rPr>
        <sz val="10"/>
        <color rgb="FF1F3A5F"/>
        <rFont val="游ゴシック"/>
        <family val="0"/>
        <charset val="1"/>
      </rPr>
      <t xml:space="preserve">30,000</t>
    </r>
  </si>
  <si>
    <t xml:space="preserve">2-3</t>
  </si>
  <si>
    <t xml:space="preserve">総勘定元帳への転記</t>
  </si>
  <si>
    <r>
      <rPr>
        <sz val="11"/>
        <color rgb="FF1F3A5F"/>
        <rFont val="Linux Libertine G"/>
        <family val="2"/>
      </rPr>
      <t xml:space="preserve">仕訳ごとに</t>
    </r>
    <r>
      <rPr>
        <sz val="11"/>
        <color rgb="FF1F3A5F"/>
        <rFont val="游ゴシック"/>
        <family val="0"/>
        <charset val="1"/>
      </rPr>
      <t xml:space="preserve">1</t>
    </r>
    <r>
      <rPr>
        <sz val="11"/>
        <color rgb="FF1F3A5F"/>
        <rFont val="Linux Libertine G"/>
        <family val="2"/>
      </rPr>
      <t xml:space="preserve">件ずつ転記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仕訳日計表で毎日まとめて転記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仕訳週計表で毎週まとめて転記</t>
    </r>
  </si>
  <si>
    <t xml:space="preserve">会計ソフトなら入力と同時に自動で転記される</t>
  </si>
  <si>
    <r>
      <rPr>
        <sz val="10"/>
        <color rgb="FF4A5D78"/>
        <rFont val="Linux Libertine G"/>
        <family val="2"/>
      </rPr>
      <t xml:space="preserve">仕訳ごとに</t>
    </r>
    <r>
      <rPr>
        <sz val="10"/>
        <color rgb="FF4A5D78"/>
        <rFont val="游ゴシック"/>
        <family val="0"/>
        <charset val="1"/>
      </rPr>
      <t xml:space="preserve">1</t>
    </r>
    <r>
      <rPr>
        <sz val="10"/>
        <color rgb="FF4A5D78"/>
        <rFont val="Linux Libertine G"/>
        <family val="2"/>
      </rPr>
      <t xml:space="preserve">件ずつ転記</t>
    </r>
  </si>
  <si>
    <t xml:space="preserve">2-4</t>
  </si>
  <si>
    <t xml:space="preserve">使う補助記入帳</t>
  </si>
  <si>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複数可</t>
    </r>
    <r>
      <rPr>
        <sz val="11"/>
        <color rgb="FF1F3A5F"/>
        <rFont val="游ゴシック"/>
        <family val="0"/>
        <charset val="1"/>
      </rPr>
      <t xml:space="preserve">)</t>
    </r>
    <r>
      <rPr>
        <sz val="11"/>
        <color rgb="FF1F3A5F"/>
        <rFont val="Linux Libertine G"/>
        <family val="2"/>
      </rPr>
      <t xml:space="preserve">現金出納帳・当座預金出納帳・小口現金出納帳・売上帳・仕入帳・受取手形記入帳・支払手形記入帳</t>
    </r>
  </si>
  <si>
    <t xml:space="preserve">取引の明細を日付順に記録する帳簿</t>
  </si>
  <si>
    <t xml:space="preserve">現金出納帳・当座預金出納帳・売上帳・仕入帳</t>
  </si>
  <si>
    <t xml:space="preserve">2-5</t>
  </si>
  <si>
    <t xml:space="preserve">使う補助元帳</t>
  </si>
  <si>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複数可</t>
    </r>
    <r>
      <rPr>
        <sz val="11"/>
        <color rgb="FF1F3A5F"/>
        <rFont val="游ゴシック"/>
        <family val="0"/>
        <charset val="1"/>
      </rPr>
      <t xml:space="preserve">)</t>
    </r>
    <r>
      <rPr>
        <sz val="11"/>
        <color rgb="FF1F3A5F"/>
        <rFont val="Linux Libertine G"/>
        <family val="2"/>
      </rPr>
      <t xml:space="preserve">売掛金元帳</t>
    </r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得意先元帳</t>
    </r>
    <r>
      <rPr>
        <sz val="11"/>
        <color rgb="FF1F3A5F"/>
        <rFont val="游ゴシック"/>
        <family val="0"/>
        <charset val="1"/>
      </rPr>
      <t xml:space="preserve">)</t>
    </r>
    <r>
      <rPr>
        <sz val="11"/>
        <color rgb="FF1F3A5F"/>
        <rFont val="Linux Libertine G"/>
        <family val="2"/>
      </rPr>
      <t xml:space="preserve">・買掛金元帳</t>
    </r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仕入先元帳</t>
    </r>
    <r>
      <rPr>
        <sz val="11"/>
        <color rgb="FF1F3A5F"/>
        <rFont val="游ゴシック"/>
        <family val="0"/>
        <charset val="1"/>
      </rPr>
      <t xml:space="preserve">)</t>
    </r>
    <r>
      <rPr>
        <sz val="11"/>
        <color rgb="FF1F3A5F"/>
        <rFont val="Linux Libertine G"/>
        <family val="2"/>
      </rPr>
      <t xml:space="preserve">・商品有高帳・固定資産台帳</t>
    </r>
  </si>
  <si>
    <t xml:space="preserve">勘定の内訳を、相手先別・品目別に記録する帳簿</t>
  </si>
  <si>
    <r>
      <rPr>
        <sz val="10"/>
        <color rgb="FF4A5D78"/>
        <rFont val="Linux Libertine G"/>
        <family val="2"/>
      </rPr>
      <t xml:space="preserve">売掛金元帳</t>
    </r>
    <r>
      <rPr>
        <sz val="10"/>
        <color rgb="FF4A5D78"/>
        <rFont val="游ゴシック"/>
        <family val="0"/>
        <charset val="1"/>
      </rPr>
      <t xml:space="preserve">(</t>
    </r>
    <r>
      <rPr>
        <sz val="10"/>
        <color rgb="FF4A5D78"/>
        <rFont val="Linux Libertine G"/>
        <family val="2"/>
      </rPr>
      <t xml:space="preserve">得意先元帳</t>
    </r>
    <r>
      <rPr>
        <sz val="10"/>
        <color rgb="FF4A5D78"/>
        <rFont val="游ゴシック"/>
        <family val="0"/>
        <charset val="1"/>
      </rPr>
      <t xml:space="preserve">)</t>
    </r>
    <r>
      <rPr>
        <sz val="10"/>
        <color rgb="FF4A5D78"/>
        <rFont val="Linux Libertine G"/>
        <family val="2"/>
      </rPr>
      <t xml:space="preserve">・買掛金元帳</t>
    </r>
    <r>
      <rPr>
        <sz val="10"/>
        <color rgb="FF4A5D78"/>
        <rFont val="游ゴシック"/>
        <family val="0"/>
        <charset val="1"/>
      </rPr>
      <t xml:space="preserve">(</t>
    </r>
    <r>
      <rPr>
        <sz val="10"/>
        <color rgb="FF4A5D78"/>
        <rFont val="Linux Libertine G"/>
        <family val="2"/>
      </rPr>
      <t xml:space="preserve">仕入先元帳</t>
    </r>
    <r>
      <rPr>
        <sz val="10"/>
        <color rgb="FF4A5D78"/>
        <rFont val="游ゴシック"/>
        <family val="0"/>
        <charset val="1"/>
      </rPr>
      <t xml:space="preserve">)</t>
    </r>
    <r>
      <rPr>
        <sz val="10"/>
        <color rgb="FF4A5D78"/>
        <rFont val="Linux Libertine G"/>
        <family val="2"/>
      </rPr>
      <t xml:space="preserve">・固定資産台帳</t>
    </r>
  </si>
  <si>
    <t xml:space="preserve">2-6</t>
  </si>
  <si>
    <t xml:space="preserve">使う会計ソフト・システム</t>
  </si>
  <si>
    <r>
      <rPr>
        <sz val="11"/>
        <color rgb="FF1F3A5F"/>
        <rFont val="Linux Libertine G"/>
        <family val="2"/>
      </rPr>
      <t xml:space="preserve">例</t>
    </r>
    <r>
      <rPr>
        <sz val="11"/>
        <color rgb="FF1F3A5F"/>
        <rFont val="游ゴシック"/>
        <family val="0"/>
        <charset val="1"/>
      </rPr>
      <t xml:space="preserve">:</t>
    </r>
    <r>
      <rPr>
        <sz val="11"/>
        <color rgb="FF1F3A5F"/>
        <rFont val="Linux Libertine G"/>
        <family val="2"/>
      </rPr>
      <t xml:space="preserve">クラウド会計ソフト、販売管理システムと連携</t>
    </r>
  </si>
  <si>
    <r>
      <rPr>
        <sz val="10"/>
        <color rgb="FF4A5D78"/>
        <rFont val="Linux Libertine G"/>
        <family val="2"/>
      </rPr>
      <t xml:space="preserve">クラウド会計ソフト</t>
    </r>
    <r>
      <rPr>
        <sz val="10"/>
        <color rgb="FF4A5D78"/>
        <rFont val="游ゴシック"/>
        <family val="0"/>
        <charset val="1"/>
      </rPr>
      <t xml:space="preserve">(</t>
    </r>
    <r>
      <rPr>
        <sz val="10"/>
        <color rgb="FF4A5D78"/>
        <rFont val="Linux Libertine G"/>
        <family val="2"/>
      </rPr>
      <t xml:space="preserve">銀行明細を自動取込</t>
    </r>
    <r>
      <rPr>
        <sz val="10"/>
        <color rgb="FF4A5D78"/>
        <rFont val="游ゴシック"/>
        <family val="0"/>
        <charset val="1"/>
      </rPr>
      <t xml:space="preserve">)</t>
    </r>
  </si>
  <si>
    <t xml:space="preserve">③ 勘定科目体系 ― 会社の“科目の辞書”を作る</t>
  </si>
  <si>
    <t xml:space="preserve">3-1</t>
  </si>
  <si>
    <t xml:space="preserve">勘定科目体系</t>
  </si>
  <si>
    <t xml:space="preserve">科目コードのルール</t>
  </si>
  <si>
    <r>
      <rPr>
        <sz val="11"/>
        <color rgb="FF1F3A5F"/>
        <rFont val="Linux Libertine G"/>
        <family val="2"/>
      </rPr>
      <t xml:space="preserve">例</t>
    </r>
    <r>
      <rPr>
        <sz val="11"/>
        <color rgb="FF1F3A5F"/>
        <rFont val="游ゴシック"/>
        <family val="0"/>
        <charset val="1"/>
      </rPr>
      <t xml:space="preserve">:4</t>
    </r>
    <r>
      <rPr>
        <sz val="11"/>
        <color rgb="FF1F3A5F"/>
        <rFont val="Linux Libertine G"/>
        <family val="2"/>
      </rPr>
      <t xml:space="preserve">桁で、先頭</t>
    </r>
    <r>
      <rPr>
        <sz val="11"/>
        <color rgb="FF1F3A5F"/>
        <rFont val="游ゴシック"/>
        <family val="0"/>
        <charset val="1"/>
      </rPr>
      <t xml:space="preserve">1=</t>
    </r>
    <r>
      <rPr>
        <sz val="11"/>
        <color rgb="FF1F3A5F"/>
        <rFont val="Linux Libertine G"/>
        <family val="2"/>
      </rPr>
      <t xml:space="preserve">資産、</t>
    </r>
    <r>
      <rPr>
        <sz val="11"/>
        <color rgb="FF1F3A5F"/>
        <rFont val="游ゴシック"/>
        <family val="0"/>
        <charset val="1"/>
      </rPr>
      <t xml:space="preserve">2=</t>
    </r>
    <r>
      <rPr>
        <sz val="11"/>
        <color rgb="FF1F3A5F"/>
        <rFont val="Linux Libertine G"/>
        <family val="2"/>
      </rPr>
      <t xml:space="preserve">負債、</t>
    </r>
    <r>
      <rPr>
        <sz val="11"/>
        <color rgb="FF1F3A5F"/>
        <rFont val="游ゴシック"/>
        <family val="0"/>
        <charset val="1"/>
      </rPr>
      <t xml:space="preserve">3=</t>
    </r>
    <r>
      <rPr>
        <sz val="11"/>
        <color rgb="FF1F3A5F"/>
        <rFont val="Linux Libertine G"/>
        <family val="2"/>
      </rPr>
      <t xml:space="preserve">純資産、</t>
    </r>
    <r>
      <rPr>
        <sz val="11"/>
        <color rgb="FF1F3A5F"/>
        <rFont val="游ゴシック"/>
        <family val="0"/>
        <charset val="1"/>
      </rPr>
      <t xml:space="preserve">4=</t>
    </r>
    <r>
      <rPr>
        <sz val="11"/>
        <color rgb="FF1F3A5F"/>
        <rFont val="Linux Libertine G"/>
        <family val="2"/>
      </rPr>
      <t xml:space="preserve">収益、</t>
    </r>
    <r>
      <rPr>
        <sz val="11"/>
        <color rgb="FF1F3A5F"/>
        <rFont val="游ゴシック"/>
        <family val="0"/>
        <charset val="1"/>
      </rPr>
      <t xml:space="preserve">5</t>
    </r>
    <r>
      <rPr>
        <sz val="11"/>
        <color rgb="FF1F3A5F"/>
        <rFont val="Linux Libertine G"/>
        <family val="2"/>
      </rPr>
      <t xml:space="preserve">〜</t>
    </r>
    <r>
      <rPr>
        <sz val="11"/>
        <color rgb="FF1F3A5F"/>
        <rFont val="游ゴシック"/>
        <family val="0"/>
        <charset val="1"/>
      </rPr>
      <t xml:space="preserve">=</t>
    </r>
    <r>
      <rPr>
        <sz val="11"/>
        <color rgb="FF1F3A5F"/>
        <rFont val="Linux Libertine G"/>
        <family val="2"/>
      </rPr>
      <t xml:space="preserve">費用</t>
    </r>
  </si>
  <si>
    <r>
      <rPr>
        <sz val="10"/>
        <color rgb="FF4A5D78"/>
        <rFont val="游ゴシック"/>
        <family val="0"/>
        <charset val="1"/>
      </rPr>
      <t xml:space="preserve">4</t>
    </r>
    <r>
      <rPr>
        <sz val="10"/>
        <color rgb="FF4A5D78"/>
        <rFont val="Linux Libertine G"/>
        <family val="2"/>
      </rPr>
      <t xml:space="preserve">桁</t>
    </r>
    <r>
      <rPr>
        <sz val="10"/>
        <color rgb="FF4A5D78"/>
        <rFont val="游ゴシック"/>
        <family val="0"/>
        <charset val="1"/>
      </rPr>
      <t xml:space="preserve">(1xxx</t>
    </r>
    <r>
      <rPr>
        <sz val="10"/>
        <color rgb="FF4A5D78"/>
        <rFont val="Linux Libertine G"/>
        <family val="2"/>
      </rPr>
      <t xml:space="preserve">資産・</t>
    </r>
    <r>
      <rPr>
        <sz val="10"/>
        <color rgb="FF4A5D78"/>
        <rFont val="游ゴシック"/>
        <family val="0"/>
        <charset val="1"/>
      </rPr>
      <t xml:space="preserve">2xxx</t>
    </r>
    <r>
      <rPr>
        <sz val="10"/>
        <color rgb="FF4A5D78"/>
        <rFont val="Linux Libertine G"/>
        <family val="2"/>
      </rPr>
      <t xml:space="preserve">負債・</t>
    </r>
    <r>
      <rPr>
        <sz val="10"/>
        <color rgb="FF4A5D78"/>
        <rFont val="游ゴシック"/>
        <family val="0"/>
        <charset val="1"/>
      </rPr>
      <t xml:space="preserve">3xxx</t>
    </r>
    <r>
      <rPr>
        <sz val="10"/>
        <color rgb="FF4A5D78"/>
        <rFont val="Linux Libertine G"/>
        <family val="2"/>
      </rPr>
      <t xml:space="preserve">純資産・</t>
    </r>
    <r>
      <rPr>
        <sz val="10"/>
        <color rgb="FF4A5D78"/>
        <rFont val="游ゴシック"/>
        <family val="0"/>
        <charset val="1"/>
      </rPr>
      <t xml:space="preserve">4xxx</t>
    </r>
    <r>
      <rPr>
        <sz val="10"/>
        <color rgb="FF4A5D78"/>
        <rFont val="Linux Libertine G"/>
        <family val="2"/>
      </rPr>
      <t xml:space="preserve">収益・</t>
    </r>
    <r>
      <rPr>
        <sz val="10"/>
        <color rgb="FF4A5D78"/>
        <rFont val="游ゴシック"/>
        <family val="0"/>
        <charset val="1"/>
      </rPr>
      <t xml:space="preserve">5xxx</t>
    </r>
    <r>
      <rPr>
        <sz val="10"/>
        <color rgb="FF4A5D78"/>
        <rFont val="Linux Libertine G"/>
        <family val="2"/>
      </rPr>
      <t xml:space="preserve">以降費用</t>
    </r>
    <r>
      <rPr>
        <sz val="10"/>
        <color rgb="FF4A5D78"/>
        <rFont val="游ゴシック"/>
        <family val="0"/>
        <charset val="1"/>
      </rPr>
      <t xml:space="preserve">)</t>
    </r>
  </si>
  <si>
    <t xml:space="preserve">3-2</t>
  </si>
  <si>
    <t xml:space="preserve">預金の補助科目</t>
  </si>
  <si>
    <r>
      <rPr>
        <sz val="11"/>
        <color rgb="FF1F3A5F"/>
        <rFont val="Linux Libertine G"/>
        <family val="2"/>
      </rPr>
      <t xml:space="preserve">口座ごとに設定する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設定しない</t>
    </r>
  </si>
  <si>
    <t xml:space="preserve">口座ごとに分けると、銀行残高との照合がしやすい</t>
  </si>
  <si>
    <t xml:space="preserve">口座ごとに設定する</t>
  </si>
  <si>
    <t xml:space="preserve">3-3</t>
  </si>
  <si>
    <t xml:space="preserve">売掛金・買掛金の内訳管理</t>
  </si>
  <si>
    <r>
      <rPr>
        <sz val="11"/>
        <color rgb="FF1F3A5F"/>
        <rFont val="Linux Libertine G"/>
        <family val="2"/>
      </rPr>
      <t xml:space="preserve">取引先ごとに補助科目を設定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補助元帳だけで管理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管理しない</t>
    </r>
  </si>
  <si>
    <r>
      <rPr>
        <sz val="11"/>
        <color rgb="FF1F3A5F"/>
        <rFont val="Linux Libertine G"/>
        <family val="2"/>
      </rPr>
      <t xml:space="preserve">総勘定元帳の売掛金</t>
    </r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統制勘定</t>
    </r>
    <r>
      <rPr>
        <sz val="11"/>
        <color rgb="FF1F3A5F"/>
        <rFont val="游ゴシック"/>
        <family val="0"/>
        <charset val="1"/>
      </rPr>
      <t xml:space="preserve">)</t>
    </r>
    <r>
      <rPr>
        <sz val="11"/>
        <color rgb="FF1F3A5F"/>
        <rFont val="Linux Libertine G"/>
        <family val="2"/>
      </rPr>
      <t xml:space="preserve">と、取引先別の合計が一致するようにする</t>
    </r>
  </si>
  <si>
    <t xml:space="preserve">取引先ごとに補助科目を設定</t>
  </si>
  <si>
    <t xml:space="preserve">3-4</t>
  </si>
  <si>
    <t xml:space="preserve">部門・プロジェクトの管理</t>
  </si>
  <si>
    <r>
      <rPr>
        <sz val="11"/>
        <color rgb="FF1F3A5F"/>
        <rFont val="Linux Libertine G"/>
        <family val="2"/>
      </rPr>
      <t xml:space="preserve">部門タグを使う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部門とプロジェクトのタグを使う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使わない</t>
    </r>
  </si>
  <si>
    <r>
      <rPr>
        <sz val="11"/>
        <color rgb="FF1F3A5F"/>
        <rFont val="Linux Libertine G"/>
        <family val="2"/>
      </rPr>
      <t xml:space="preserve">管理会計</t>
    </r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部門別の損益</t>
    </r>
    <r>
      <rPr>
        <sz val="11"/>
        <color rgb="FF1F3A5F"/>
        <rFont val="游ゴシック"/>
        <family val="0"/>
        <charset val="1"/>
      </rPr>
      <t xml:space="preserve">)</t>
    </r>
    <r>
      <rPr>
        <sz val="11"/>
        <color rgb="FF1F3A5F"/>
        <rFont val="Linux Libertine G"/>
        <family val="2"/>
      </rPr>
      <t xml:space="preserve">を見るかどうかで決める</t>
    </r>
  </si>
  <si>
    <t xml:space="preserve">部門タグを使う</t>
  </si>
  <si>
    <t xml:space="preserve">3-5</t>
  </si>
  <si>
    <t xml:space="preserve">費用科目の細かさ</t>
  </si>
  <si>
    <r>
      <rPr>
        <sz val="11"/>
        <color rgb="FF1F3A5F"/>
        <rFont val="Linux Libertine G"/>
        <family val="2"/>
      </rPr>
      <t xml:space="preserve">例</t>
    </r>
    <r>
      <rPr>
        <sz val="11"/>
        <color rgb="FF1F3A5F"/>
        <rFont val="游ゴシック"/>
        <family val="0"/>
        <charset val="1"/>
      </rPr>
      <t xml:space="preserve">:</t>
    </r>
    <r>
      <rPr>
        <sz val="11"/>
        <color rgb="FF1F3A5F"/>
        <rFont val="Linux Libertine G"/>
        <family val="2"/>
      </rPr>
      <t xml:space="preserve">消耗品費と事務用品費を分けるか。分けすぎると入力ミスが増える</t>
    </r>
  </si>
  <si>
    <t xml:space="preserve">少額の備品・文具はまとめて消耗品費</t>
  </si>
  <si>
    <t xml:space="preserve">3-6</t>
  </si>
  <si>
    <t xml:space="preserve">表示科目へのまとめ方</t>
  </si>
  <si>
    <t xml:space="preserve">帳簿の科目を財務諸表の表示科目にまとめるルール</t>
  </si>
  <si>
    <t xml:space="preserve">現金・当座預金・普通預金 → 現金及び預金</t>
  </si>
  <si>
    <t xml:space="preserve">④ 会計方針 ― 財務諸表の数字そのものが変わる最重要部分</t>
  </si>
  <si>
    <t xml:space="preserve">4-1</t>
  </si>
  <si>
    <t xml:space="preserve">会計方針</t>
  </si>
  <si>
    <t xml:space="preserve">収益を計上するタイミング</t>
  </si>
  <si>
    <r>
      <rPr>
        <sz val="11"/>
        <color rgb="FF1F3A5F"/>
        <rFont val="Linux Libertine G"/>
        <family val="2"/>
      </rPr>
      <t xml:space="preserve">出荷基準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着荷基準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検収基準</t>
    </r>
  </si>
  <si>
    <t xml:space="preserve">収益認識基準では、支配が顧客に移った時点で計上する。国内販売なら出荷基準も認められる場合がある</t>
  </si>
  <si>
    <t xml:space="preserve">出荷基準</t>
  </si>
  <si>
    <r>
      <rPr>
        <sz val="10"/>
        <color rgb="FF1F3A5F"/>
        <rFont val="Linux Libertine G"/>
        <family val="2"/>
      </rPr>
      <t xml:space="preserve">仕訳の形は同じで、計上する日が変わる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売掛金 </t>
    </r>
    <r>
      <rPr>
        <sz val="10"/>
        <color rgb="FF1F3A5F"/>
        <rFont val="游ゴシック"/>
        <family val="0"/>
        <charset val="1"/>
      </rPr>
      <t xml:space="preserve">150,000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売上 </t>
    </r>
    <r>
      <rPr>
        <sz val="10"/>
        <color rgb="FF1F3A5F"/>
        <rFont val="游ゴシック"/>
        <family val="0"/>
        <charset val="1"/>
      </rPr>
      <t xml:space="preserve">150,000</t>
    </r>
  </si>
  <si>
    <t xml:space="preserve">4-2</t>
  </si>
  <si>
    <t xml:space="preserve">商品売買の記帳法</t>
  </si>
  <si>
    <r>
      <rPr>
        <sz val="11"/>
        <color rgb="FF1F3A5F"/>
        <rFont val="Linux Libertine G"/>
        <family val="2"/>
      </rPr>
      <t xml:space="preserve">三分法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売上原価対立法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分記法</t>
    </r>
  </si>
  <si>
    <r>
      <rPr>
        <sz val="11"/>
        <color rgb="FF1F3A5F"/>
        <rFont val="Linux Libertine G"/>
        <family val="2"/>
      </rPr>
      <t xml:space="preserve">原価</t>
    </r>
    <r>
      <rPr>
        <sz val="11"/>
        <color rgb="FF1F3A5F"/>
        <rFont val="游ゴシック"/>
        <family val="0"/>
        <charset val="1"/>
      </rPr>
      <t xml:space="preserve">1,000</t>
    </r>
    <r>
      <rPr>
        <sz val="11"/>
        <color rgb="FF1F3A5F"/>
        <rFont val="Linux Libertine G"/>
        <family val="2"/>
      </rPr>
      <t xml:space="preserve">円の商品を</t>
    </r>
    <r>
      <rPr>
        <sz val="11"/>
        <color rgb="FF1F3A5F"/>
        <rFont val="游ゴシック"/>
        <family val="0"/>
        <charset val="1"/>
      </rPr>
      <t xml:space="preserve">1,500</t>
    </r>
    <r>
      <rPr>
        <sz val="11"/>
        <color rgb="FF1F3A5F"/>
        <rFont val="Linux Libertine G"/>
        <family val="2"/>
      </rPr>
      <t xml:space="preserve">円で掛け売りした場合で比べる</t>
    </r>
  </si>
  <si>
    <t xml:space="preserve">三分法</t>
  </si>
  <si>
    <r>
      <rPr>
        <sz val="10"/>
        <color rgb="FF1F3A5F"/>
        <rFont val="Linux Libertine G"/>
        <family val="2"/>
      </rPr>
      <t xml:space="preserve">【三分法】
販売時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売掛金 </t>
    </r>
    <r>
      <rPr>
        <sz val="10"/>
        <color rgb="FF1F3A5F"/>
        <rFont val="游ゴシック"/>
        <family val="0"/>
        <charset val="1"/>
      </rPr>
      <t xml:space="preserve">1,500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売上 </t>
    </r>
    <r>
      <rPr>
        <sz val="10"/>
        <color rgb="FF1F3A5F"/>
        <rFont val="游ゴシック"/>
        <family val="0"/>
        <charset val="1"/>
      </rPr>
      <t xml:space="preserve">1,500
</t>
    </r>
    <r>
      <rPr>
        <sz val="10"/>
        <color rgb="FF1F3A5F"/>
        <rFont val="Linux Libertine G"/>
        <family val="2"/>
      </rPr>
      <t xml:space="preserve">決算</t>
    </r>
    <r>
      <rPr>
        <sz val="10"/>
        <color rgb="FF1F3A5F"/>
        <rFont val="游ゴシック"/>
        <family val="0"/>
        <charset val="1"/>
      </rPr>
      <t xml:space="preserve">:</t>
    </r>
    <r>
      <rPr>
        <sz val="10"/>
        <color rgb="FF1F3A5F"/>
        <rFont val="Linux Libertine G"/>
        <family val="2"/>
      </rPr>
      <t xml:space="preserve">期首商品</t>
    </r>
    <r>
      <rPr>
        <sz val="10"/>
        <color rgb="FF1F3A5F"/>
        <rFont val="游ゴシック"/>
        <family val="0"/>
        <charset val="1"/>
      </rPr>
      <t xml:space="preserve">200</t>
    </r>
    <r>
      <rPr>
        <sz val="10"/>
        <color rgb="FF1F3A5F"/>
        <rFont val="Linux Libertine G"/>
        <family val="2"/>
      </rPr>
      <t xml:space="preserve">・期末商品</t>
    </r>
    <r>
      <rPr>
        <sz val="10"/>
        <color rgb="FF1F3A5F"/>
        <rFont val="游ゴシック"/>
        <family val="0"/>
        <charset val="1"/>
      </rPr>
      <t xml:space="preserve">300
  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仕入 </t>
    </r>
    <r>
      <rPr>
        <sz val="10"/>
        <color rgb="FF1F3A5F"/>
        <rFont val="游ゴシック"/>
        <family val="0"/>
        <charset val="1"/>
      </rPr>
      <t xml:space="preserve">200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繰越商品 </t>
    </r>
    <r>
      <rPr>
        <sz val="10"/>
        <color rgb="FF1F3A5F"/>
        <rFont val="游ゴシック"/>
        <family val="0"/>
        <charset val="1"/>
      </rPr>
      <t xml:space="preserve">200
  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繰越商品 </t>
    </r>
    <r>
      <rPr>
        <sz val="10"/>
        <color rgb="FF1F3A5F"/>
        <rFont val="游ゴシック"/>
        <family val="0"/>
        <charset val="1"/>
      </rPr>
      <t xml:space="preserve">300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仕入 </t>
    </r>
    <r>
      <rPr>
        <sz val="10"/>
        <color rgb="FF1F3A5F"/>
        <rFont val="游ゴシック"/>
        <family val="0"/>
        <charset val="1"/>
      </rPr>
      <t xml:space="preserve">300
</t>
    </r>
    <r>
      <rPr>
        <sz val="10"/>
        <color rgb="FF1F3A5F"/>
        <rFont val="Linux Libertine G"/>
        <family val="2"/>
      </rPr>
      <t xml:space="preserve">【売上原価対立法】
販売時に原価も計上する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売掛金 </t>
    </r>
    <r>
      <rPr>
        <sz val="10"/>
        <color rgb="FF1F3A5F"/>
        <rFont val="游ゴシック"/>
        <family val="0"/>
        <charset val="1"/>
      </rPr>
      <t xml:space="preserve">1,500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売上 </t>
    </r>
    <r>
      <rPr>
        <sz val="10"/>
        <color rgb="FF1F3A5F"/>
        <rFont val="游ゴシック"/>
        <family val="0"/>
        <charset val="1"/>
      </rPr>
      <t xml:space="preserve">1,500
  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売上原価 </t>
    </r>
    <r>
      <rPr>
        <sz val="10"/>
        <color rgb="FF1F3A5F"/>
        <rFont val="游ゴシック"/>
        <family val="0"/>
        <charset val="1"/>
      </rPr>
      <t xml:space="preserve">1,000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商品 </t>
    </r>
    <r>
      <rPr>
        <sz val="10"/>
        <color rgb="FF1F3A5F"/>
        <rFont val="游ゴシック"/>
        <family val="0"/>
        <charset val="1"/>
      </rPr>
      <t xml:space="preserve">1,000
</t>
    </r>
    <r>
      <rPr>
        <sz val="10"/>
        <color rgb="FF1F3A5F"/>
        <rFont val="Linux Libertine G"/>
        <family val="2"/>
      </rPr>
      <t xml:space="preserve">【分記法】
販売時に利益を分けて計上する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売掛金 </t>
    </r>
    <r>
      <rPr>
        <sz val="10"/>
        <color rgb="FF1F3A5F"/>
        <rFont val="游ゴシック"/>
        <family val="0"/>
        <charset val="1"/>
      </rPr>
      <t xml:space="preserve">1,500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商品 </t>
    </r>
    <r>
      <rPr>
        <sz val="10"/>
        <color rgb="FF1F3A5F"/>
        <rFont val="游ゴシック"/>
        <family val="0"/>
        <charset val="1"/>
      </rPr>
      <t xml:space="preserve">1,000
  　　　／　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商品売買益 </t>
    </r>
    <r>
      <rPr>
        <sz val="10"/>
        <color rgb="FF1F3A5F"/>
        <rFont val="游ゴシック"/>
        <family val="0"/>
        <charset val="1"/>
      </rPr>
      <t xml:space="preserve">500</t>
    </r>
  </si>
  <si>
    <t xml:space="preserve">4-3</t>
  </si>
  <si>
    <t xml:space="preserve">払出単価の計算方法</t>
  </si>
  <si>
    <r>
      <rPr>
        <sz val="11"/>
        <color rgb="FF1F3A5F"/>
        <rFont val="Linux Libertine G"/>
        <family val="2"/>
      </rPr>
      <t xml:space="preserve">先入先出法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移動平均法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総平均法</t>
    </r>
  </si>
  <si>
    <t xml:space="preserve">商品有高帳の付け方と売上原価の金額が変わる</t>
  </si>
  <si>
    <t xml:space="preserve">移動平均法</t>
  </si>
  <si>
    <t xml:space="preserve">4-4</t>
  </si>
  <si>
    <t xml:space="preserve">棚卸資産の簿価切下げ</t>
  </si>
  <si>
    <r>
      <rPr>
        <sz val="11"/>
        <color rgb="FF1F3A5F"/>
        <rFont val="Linux Libertine G"/>
        <family val="2"/>
      </rPr>
      <t xml:space="preserve">洗替法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切放法</t>
    </r>
  </si>
  <si>
    <t xml:space="preserve">正味売却価額が帳簿価額を下回ったら切り下げる。洗替法は翌期首に戻し入れる</t>
  </si>
  <si>
    <t xml:space="preserve">洗替法</t>
  </si>
  <si>
    <r>
      <rPr>
        <sz val="10"/>
        <color rgb="FF1F3A5F"/>
        <rFont val="Linux Libertine G"/>
        <family val="2"/>
      </rPr>
      <t xml:space="preserve">【洗替法】
決算</t>
    </r>
    <r>
      <rPr>
        <sz val="10"/>
        <color rgb="FF1F3A5F"/>
        <rFont val="游ゴシック"/>
        <family val="0"/>
        <charset val="1"/>
      </rPr>
      <t xml:space="preserve">:</t>
    </r>
    <r>
      <rPr>
        <sz val="10"/>
        <color rgb="FF1F3A5F"/>
        <rFont val="Linux Libertine G"/>
        <family val="2"/>
      </rPr>
      <t xml:space="preserve">評価損</t>
    </r>
    <r>
      <rPr>
        <sz val="10"/>
        <color rgb="FF1F3A5F"/>
        <rFont val="游ゴシック"/>
        <family val="0"/>
        <charset val="1"/>
      </rPr>
      <t xml:space="preserve">20</t>
    </r>
    <r>
      <rPr>
        <sz val="10"/>
        <color rgb="FF1F3A5F"/>
        <rFont val="Linux Libertine G"/>
        <family val="2"/>
      </rPr>
      <t xml:space="preserve">を計上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商品評価損 </t>
    </r>
    <r>
      <rPr>
        <sz val="10"/>
        <color rgb="FF1F3A5F"/>
        <rFont val="游ゴシック"/>
        <family val="0"/>
        <charset val="1"/>
      </rPr>
      <t xml:space="preserve">20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繰越商品 </t>
    </r>
    <r>
      <rPr>
        <sz val="10"/>
        <color rgb="FF1F3A5F"/>
        <rFont val="游ゴシック"/>
        <family val="0"/>
        <charset val="1"/>
      </rPr>
      <t xml:space="preserve">20
</t>
    </r>
    <r>
      <rPr>
        <sz val="10"/>
        <color rgb="FF1F3A5F"/>
        <rFont val="Linux Libertine G"/>
        <family val="2"/>
      </rPr>
      <t xml:space="preserve">翌期首</t>
    </r>
    <r>
      <rPr>
        <sz val="10"/>
        <color rgb="FF1F3A5F"/>
        <rFont val="游ゴシック"/>
        <family val="0"/>
        <charset val="1"/>
      </rPr>
      <t xml:space="preserve">:</t>
    </r>
    <r>
      <rPr>
        <sz val="10"/>
        <color rgb="FF1F3A5F"/>
        <rFont val="Linux Libertine G"/>
        <family val="2"/>
      </rPr>
      <t xml:space="preserve">戻し入れ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繰越商品 </t>
    </r>
    <r>
      <rPr>
        <sz val="10"/>
        <color rgb="FF1F3A5F"/>
        <rFont val="游ゴシック"/>
        <family val="0"/>
        <charset val="1"/>
      </rPr>
      <t xml:space="preserve">20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商品評価損戻入益 </t>
    </r>
    <r>
      <rPr>
        <sz val="10"/>
        <color rgb="FF1F3A5F"/>
        <rFont val="游ゴシック"/>
        <family val="0"/>
        <charset val="1"/>
      </rPr>
      <t xml:space="preserve">20
</t>
    </r>
    <r>
      <rPr>
        <sz val="10"/>
        <color rgb="FF1F3A5F"/>
        <rFont val="Linux Libertine G"/>
        <family val="2"/>
      </rPr>
      <t xml:space="preserve">【切放法】
決算</t>
    </r>
    <r>
      <rPr>
        <sz val="10"/>
        <color rgb="FF1F3A5F"/>
        <rFont val="游ゴシック"/>
        <family val="0"/>
        <charset val="1"/>
      </rPr>
      <t xml:space="preserve">:</t>
    </r>
    <r>
      <rPr>
        <sz val="10"/>
        <color rgb="FF1F3A5F"/>
        <rFont val="Linux Libertine G"/>
        <family val="2"/>
      </rPr>
      <t xml:space="preserve">評価損</t>
    </r>
    <r>
      <rPr>
        <sz val="10"/>
        <color rgb="FF1F3A5F"/>
        <rFont val="游ゴシック"/>
        <family val="0"/>
        <charset val="1"/>
      </rPr>
      <t xml:space="preserve">20</t>
    </r>
    <r>
      <rPr>
        <sz val="10"/>
        <color rgb="FF1F3A5F"/>
        <rFont val="Linux Libertine G"/>
        <family val="2"/>
      </rPr>
      <t xml:space="preserve">を計上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翌期は戻さない</t>
    </r>
    <r>
      <rPr>
        <sz val="10"/>
        <color rgb="FF1F3A5F"/>
        <rFont val="游ゴシック"/>
        <family val="0"/>
        <charset val="1"/>
      </rPr>
      <t xml:space="preserve">)
  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商品評価損 </t>
    </r>
    <r>
      <rPr>
        <sz val="10"/>
        <color rgb="FF1F3A5F"/>
        <rFont val="游ゴシック"/>
        <family val="0"/>
        <charset val="1"/>
      </rPr>
      <t xml:space="preserve">20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繰越商品 </t>
    </r>
    <r>
      <rPr>
        <sz val="10"/>
        <color rgb="FF1F3A5F"/>
        <rFont val="游ゴシック"/>
        <family val="0"/>
        <charset val="1"/>
      </rPr>
      <t xml:space="preserve">20</t>
    </r>
  </si>
  <si>
    <t xml:space="preserve">4-5</t>
  </si>
  <si>
    <t xml:space="preserve">減価償却の方法</t>
  </si>
  <si>
    <r>
      <rPr>
        <sz val="11"/>
        <color rgb="FF1F3A5F"/>
        <rFont val="Linux Libertine G"/>
        <family val="2"/>
      </rPr>
      <t xml:space="preserve">定額法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定率法</t>
    </r>
    <r>
      <rPr>
        <sz val="11"/>
        <color rgb="FF1F3A5F"/>
        <rFont val="游ゴシック"/>
        <family val="0"/>
        <charset val="1"/>
      </rPr>
      <t xml:space="preserve">(200%</t>
    </r>
    <r>
      <rPr>
        <sz val="11"/>
        <color rgb="FF1F3A5F"/>
        <rFont val="Linux Libertine G"/>
        <family val="2"/>
      </rPr>
      <t xml:space="preserve">定率法</t>
    </r>
    <r>
      <rPr>
        <sz val="11"/>
        <color rgb="FF1F3A5F"/>
        <rFont val="游ゴシック"/>
        <family val="0"/>
        <charset val="1"/>
      </rPr>
      <t xml:space="preserve">) / </t>
    </r>
    <r>
      <rPr>
        <sz val="11"/>
        <color rgb="FF1F3A5F"/>
        <rFont val="Linux Libertine G"/>
        <family val="2"/>
      </rPr>
      <t xml:space="preserve">生産高比例法</t>
    </r>
  </si>
  <si>
    <r>
      <rPr>
        <sz val="11"/>
        <color rgb="FF1F3A5F"/>
        <rFont val="Linux Libertine G"/>
        <family val="2"/>
      </rPr>
      <t xml:space="preserve">例</t>
    </r>
    <r>
      <rPr>
        <sz val="11"/>
        <color rgb="FF1F3A5F"/>
        <rFont val="游ゴシック"/>
        <family val="0"/>
        <charset val="1"/>
      </rPr>
      <t xml:space="preserve">:</t>
    </r>
    <r>
      <rPr>
        <sz val="11"/>
        <color rgb="FF1F3A5F"/>
        <rFont val="Linux Libertine G"/>
        <family val="2"/>
      </rPr>
      <t xml:space="preserve">取得原価</t>
    </r>
    <r>
      <rPr>
        <sz val="11"/>
        <color rgb="FF1F3A5F"/>
        <rFont val="游ゴシック"/>
        <family val="0"/>
        <charset val="1"/>
      </rPr>
      <t xml:space="preserve">1,000,000</t>
    </r>
    <r>
      <rPr>
        <sz val="11"/>
        <color rgb="FF1F3A5F"/>
        <rFont val="Linux Libertine G"/>
        <family val="2"/>
      </rPr>
      <t xml:space="preserve">円・耐用年数</t>
    </r>
    <r>
      <rPr>
        <sz val="11"/>
        <color rgb="FF1F3A5F"/>
        <rFont val="游ゴシック"/>
        <family val="0"/>
        <charset val="1"/>
      </rPr>
      <t xml:space="preserve">5</t>
    </r>
    <r>
      <rPr>
        <sz val="11"/>
        <color rgb="FF1F3A5F"/>
        <rFont val="Linux Libertine G"/>
        <family val="2"/>
      </rPr>
      <t xml:space="preserve">年・残存価額</t>
    </r>
    <r>
      <rPr>
        <sz val="11"/>
        <color rgb="FF1F3A5F"/>
        <rFont val="游ゴシック"/>
        <family val="0"/>
        <charset val="1"/>
      </rPr>
      <t xml:space="preserve">0</t>
    </r>
    <r>
      <rPr>
        <sz val="11"/>
        <color rgb="FF1F3A5F"/>
        <rFont val="Linux Libertine G"/>
        <family val="2"/>
      </rPr>
      <t xml:space="preserve">の備品の</t>
    </r>
    <r>
      <rPr>
        <sz val="11"/>
        <color rgb="FF1F3A5F"/>
        <rFont val="游ゴシック"/>
        <family val="0"/>
        <charset val="1"/>
      </rPr>
      <t xml:space="preserve">1</t>
    </r>
    <r>
      <rPr>
        <sz val="11"/>
        <color rgb="FF1F3A5F"/>
        <rFont val="Linux Libertine G"/>
        <family val="2"/>
      </rPr>
      <t xml:space="preserve">年目</t>
    </r>
  </si>
  <si>
    <t xml:space="preserve">定額法</t>
  </si>
  <si>
    <r>
      <rPr>
        <sz val="10"/>
        <color rgb="FF1F3A5F"/>
        <rFont val="Linux Libertine G"/>
        <family val="2"/>
      </rPr>
      <t xml:space="preserve">【定額法】
</t>
    </r>
    <r>
      <rPr>
        <sz val="10"/>
        <color rgb="FF1F3A5F"/>
        <rFont val="游ゴシック"/>
        <family val="0"/>
        <charset val="1"/>
      </rPr>
      <t xml:space="preserve">1,000,000 ÷ 5</t>
    </r>
    <r>
      <rPr>
        <sz val="10"/>
        <color rgb="FF1F3A5F"/>
        <rFont val="Linux Libertine G"/>
        <family val="2"/>
      </rPr>
      <t xml:space="preserve">年 </t>
    </r>
    <r>
      <rPr>
        <sz val="10"/>
        <color rgb="FF1F3A5F"/>
        <rFont val="游ゴシック"/>
        <family val="0"/>
        <charset val="1"/>
      </rPr>
      <t xml:space="preserve">= 200,000
  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減価償却費 </t>
    </r>
    <r>
      <rPr>
        <sz val="10"/>
        <color rgb="FF1F3A5F"/>
        <rFont val="游ゴシック"/>
        <family val="0"/>
        <charset val="1"/>
      </rPr>
      <t xml:space="preserve">200,000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備品減価償却累計額 </t>
    </r>
    <r>
      <rPr>
        <sz val="10"/>
        <color rgb="FF1F3A5F"/>
        <rFont val="游ゴシック"/>
        <family val="0"/>
        <charset val="1"/>
      </rPr>
      <t xml:space="preserve">200,000
</t>
    </r>
    <r>
      <rPr>
        <sz val="10"/>
        <color rgb="FF1F3A5F"/>
        <rFont val="Linux Libertine G"/>
        <family val="2"/>
      </rPr>
      <t xml:space="preserve">【定率法</t>
    </r>
    <r>
      <rPr>
        <sz val="10"/>
        <color rgb="FF1F3A5F"/>
        <rFont val="游ゴシック"/>
        <family val="0"/>
        <charset val="1"/>
      </rPr>
      <t xml:space="preserve">(200%</t>
    </r>
    <r>
      <rPr>
        <sz val="10"/>
        <color rgb="FF1F3A5F"/>
        <rFont val="Linux Libertine G"/>
        <family val="2"/>
      </rPr>
      <t xml:space="preserve">定率法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】
償却率 </t>
    </r>
    <r>
      <rPr>
        <sz val="10"/>
        <color rgb="FF1F3A5F"/>
        <rFont val="游ゴシック"/>
        <family val="0"/>
        <charset val="1"/>
      </rPr>
      <t xml:space="preserve">1÷5</t>
    </r>
    <r>
      <rPr>
        <sz val="10"/>
        <color rgb="FF1F3A5F"/>
        <rFont val="Linux Libertine G"/>
        <family val="2"/>
      </rPr>
      <t xml:space="preserve">年</t>
    </r>
    <r>
      <rPr>
        <sz val="10"/>
        <color rgb="FF1F3A5F"/>
        <rFont val="游ゴシック"/>
        <family val="0"/>
        <charset val="1"/>
      </rPr>
      <t xml:space="preserve">×200% = 0.400</t>
    </r>
    <r>
      <rPr>
        <sz val="10"/>
        <color rgb="FF1F3A5F"/>
        <rFont val="Linux Libertine G"/>
        <family val="2"/>
      </rPr>
      <t xml:space="preserve">、</t>
    </r>
    <r>
      <rPr>
        <sz val="10"/>
        <color rgb="FF1F3A5F"/>
        <rFont val="游ゴシック"/>
        <family val="0"/>
        <charset val="1"/>
      </rPr>
      <t xml:space="preserve">1,000,000 × 0.400 = 400,000
  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減価償却費 </t>
    </r>
    <r>
      <rPr>
        <sz val="10"/>
        <color rgb="FF1F3A5F"/>
        <rFont val="游ゴシック"/>
        <family val="0"/>
        <charset val="1"/>
      </rPr>
      <t xml:space="preserve">400,000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備品減価償却累計額 </t>
    </r>
    <r>
      <rPr>
        <sz val="10"/>
        <color rgb="FF1F3A5F"/>
        <rFont val="游ゴシック"/>
        <family val="0"/>
        <charset val="1"/>
      </rPr>
      <t xml:space="preserve">400,000
</t>
    </r>
    <r>
      <rPr>
        <sz val="10"/>
        <color rgb="FF1F3A5F"/>
        <rFont val="Linux Libertine G"/>
        <family val="2"/>
      </rPr>
      <t xml:space="preserve">【生産高比例法】
総見積生産量</t>
    </r>
    <r>
      <rPr>
        <sz val="10"/>
        <color rgb="FF1F3A5F"/>
        <rFont val="游ゴシック"/>
        <family val="0"/>
        <charset val="1"/>
      </rPr>
      <t xml:space="preserve">10,000</t>
    </r>
    <r>
      <rPr>
        <sz val="10"/>
        <color rgb="FF1F3A5F"/>
        <rFont val="Linux Libertine G"/>
        <family val="2"/>
      </rPr>
      <t xml:space="preserve">個のうち当期</t>
    </r>
    <r>
      <rPr>
        <sz val="10"/>
        <color rgb="FF1F3A5F"/>
        <rFont val="游ゴシック"/>
        <family val="0"/>
        <charset val="1"/>
      </rPr>
      <t xml:space="preserve">2,500</t>
    </r>
    <r>
      <rPr>
        <sz val="10"/>
        <color rgb="FF1F3A5F"/>
        <rFont val="Linux Libertine G"/>
        <family val="2"/>
      </rPr>
      <t xml:space="preserve">個 → </t>
    </r>
    <r>
      <rPr>
        <sz val="10"/>
        <color rgb="FF1F3A5F"/>
        <rFont val="游ゴシック"/>
        <family val="0"/>
        <charset val="1"/>
      </rPr>
      <t xml:space="preserve">1,000,000 × 2,500/10,000 = 250,000
  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減価償却費 </t>
    </r>
    <r>
      <rPr>
        <sz val="10"/>
        <color rgb="FF1F3A5F"/>
        <rFont val="游ゴシック"/>
        <family val="0"/>
        <charset val="1"/>
      </rPr>
      <t xml:space="preserve">250,000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機械装置減価償却累計額 </t>
    </r>
    <r>
      <rPr>
        <sz val="10"/>
        <color rgb="FF1F3A5F"/>
        <rFont val="游ゴシック"/>
        <family val="0"/>
        <charset val="1"/>
      </rPr>
      <t xml:space="preserve">250,000</t>
    </r>
  </si>
  <si>
    <t xml:space="preserve">4-6</t>
  </si>
  <si>
    <t xml:space="preserve">減価償却の記帳方法</t>
  </si>
  <si>
    <r>
      <rPr>
        <sz val="11"/>
        <color rgb="FF1F3A5F"/>
        <rFont val="Linux Libertine G"/>
        <family val="2"/>
      </rPr>
      <t xml:space="preserve">間接法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直接法</t>
    </r>
  </si>
  <si>
    <t xml:space="preserve">間接法なら、取得原価と累計額を両方残せる</t>
  </si>
  <si>
    <t xml:space="preserve">間接法</t>
  </si>
  <si>
    <r>
      <rPr>
        <sz val="10"/>
        <color rgb="FF1F3A5F"/>
        <rFont val="Linux Libertine G"/>
        <family val="2"/>
      </rPr>
      <t xml:space="preserve">【間接法】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減価償却費 </t>
    </r>
    <r>
      <rPr>
        <sz val="10"/>
        <color rgb="FF1F3A5F"/>
        <rFont val="游ゴシック"/>
        <family val="0"/>
        <charset val="1"/>
      </rPr>
      <t xml:space="preserve">100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備品減価償却累計額 </t>
    </r>
    <r>
      <rPr>
        <sz val="10"/>
        <color rgb="FF1F3A5F"/>
        <rFont val="游ゴシック"/>
        <family val="0"/>
        <charset val="1"/>
      </rPr>
      <t xml:space="preserve">100
</t>
    </r>
    <r>
      <rPr>
        <sz val="10"/>
        <color rgb="FF1F3A5F"/>
        <rFont val="Linux Libertine G"/>
        <family val="2"/>
      </rPr>
      <t xml:space="preserve">【直接法】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減価償却費 </t>
    </r>
    <r>
      <rPr>
        <sz val="10"/>
        <color rgb="FF1F3A5F"/>
        <rFont val="游ゴシック"/>
        <family val="0"/>
        <charset val="1"/>
      </rPr>
      <t xml:space="preserve">100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備品 </t>
    </r>
    <r>
      <rPr>
        <sz val="10"/>
        <color rgb="FF1F3A5F"/>
        <rFont val="游ゴシック"/>
        <family val="0"/>
        <charset val="1"/>
      </rPr>
      <t xml:space="preserve">100</t>
    </r>
  </si>
  <si>
    <t xml:space="preserve">4-7</t>
  </si>
  <si>
    <t xml:space="preserve">固定資産に計上する基準</t>
  </si>
  <si>
    <r>
      <rPr>
        <sz val="11"/>
        <color rgb="FF1F3A5F"/>
        <rFont val="Linux Libertine G"/>
        <family val="2"/>
      </rPr>
      <t xml:space="preserve">例</t>
    </r>
    <r>
      <rPr>
        <sz val="11"/>
        <color rgb="FF1F3A5F"/>
        <rFont val="游ゴシック"/>
        <family val="0"/>
        <charset val="1"/>
      </rPr>
      <t xml:space="preserve">:</t>
    </r>
    <r>
      <rPr>
        <sz val="11"/>
        <color rgb="FF1F3A5F"/>
        <rFont val="Linux Libertine G"/>
        <family val="2"/>
      </rPr>
      <t xml:space="preserve">取得価額</t>
    </r>
    <r>
      <rPr>
        <sz val="11"/>
        <color rgb="FF1F3A5F"/>
        <rFont val="游ゴシック"/>
        <family val="0"/>
        <charset val="1"/>
      </rPr>
      <t xml:space="preserve">10</t>
    </r>
    <r>
      <rPr>
        <sz val="11"/>
        <color rgb="FF1F3A5F"/>
        <rFont val="Linux Libertine G"/>
        <family val="2"/>
      </rPr>
      <t xml:space="preserve">万円以上は資産に計上し、未満は消耗品費</t>
    </r>
  </si>
  <si>
    <r>
      <rPr>
        <sz val="10"/>
        <color rgb="FF4A5D78"/>
        <rFont val="Linux Libertine G"/>
        <family val="2"/>
      </rPr>
      <t xml:space="preserve">取得価額</t>
    </r>
    <r>
      <rPr>
        <sz val="10"/>
        <color rgb="FF4A5D78"/>
        <rFont val="游ゴシック"/>
        <family val="0"/>
        <charset val="1"/>
      </rPr>
      <t xml:space="preserve">10</t>
    </r>
    <r>
      <rPr>
        <sz val="10"/>
        <color rgb="FF4A5D78"/>
        <rFont val="Linux Libertine G"/>
        <family val="2"/>
      </rPr>
      <t xml:space="preserve">万円以上を資産計上</t>
    </r>
  </si>
  <si>
    <t xml:space="preserve">4-8</t>
  </si>
  <si>
    <t xml:space="preserve">貸倒引当金の繰入方法</t>
  </si>
  <si>
    <r>
      <rPr>
        <sz val="11"/>
        <color rgb="FF1F3A5F"/>
        <rFont val="Linux Libertine G"/>
        <family val="2"/>
      </rPr>
      <t xml:space="preserve">差額補充法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洗替法</t>
    </r>
  </si>
  <si>
    <r>
      <rPr>
        <sz val="11"/>
        <color rgb="FF1F3A5F"/>
        <rFont val="Linux Libertine G"/>
        <family val="2"/>
      </rPr>
      <t xml:space="preserve">例</t>
    </r>
    <r>
      <rPr>
        <sz val="11"/>
        <color rgb="FF1F3A5F"/>
        <rFont val="游ゴシック"/>
        <family val="0"/>
        <charset val="1"/>
      </rPr>
      <t xml:space="preserve">:</t>
    </r>
    <r>
      <rPr>
        <sz val="11"/>
        <color rgb="FF1F3A5F"/>
        <rFont val="Linux Libertine G"/>
        <family val="2"/>
      </rPr>
      <t xml:space="preserve">設定額</t>
    </r>
    <r>
      <rPr>
        <sz val="11"/>
        <color rgb="FF1F3A5F"/>
        <rFont val="游ゴシック"/>
        <family val="0"/>
        <charset val="1"/>
      </rPr>
      <t xml:space="preserve">300</t>
    </r>
    <r>
      <rPr>
        <sz val="11"/>
        <color rgb="FF1F3A5F"/>
        <rFont val="Linux Libertine G"/>
        <family val="2"/>
      </rPr>
      <t xml:space="preserve">、決算前の引当金残高</t>
    </r>
    <r>
      <rPr>
        <sz val="11"/>
        <color rgb="FF1F3A5F"/>
        <rFont val="游ゴシック"/>
        <family val="0"/>
        <charset val="1"/>
      </rPr>
      <t xml:space="preserve">100</t>
    </r>
  </si>
  <si>
    <t xml:space="preserve">差額補充法</t>
  </si>
  <si>
    <r>
      <rPr>
        <sz val="10"/>
        <color rgb="FF1F3A5F"/>
        <rFont val="Linux Libertine G"/>
        <family val="2"/>
      </rPr>
      <t xml:space="preserve">【差額補充法】
不足する</t>
    </r>
    <r>
      <rPr>
        <sz val="10"/>
        <color rgb="FF1F3A5F"/>
        <rFont val="游ゴシック"/>
        <family val="0"/>
        <charset val="1"/>
      </rPr>
      <t xml:space="preserve">200</t>
    </r>
    <r>
      <rPr>
        <sz val="10"/>
        <color rgb="FF1F3A5F"/>
        <rFont val="Linux Libertine G"/>
        <family val="2"/>
      </rPr>
      <t xml:space="preserve">だけ繰り入れる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貸倒引当金繰入 </t>
    </r>
    <r>
      <rPr>
        <sz val="10"/>
        <color rgb="FF1F3A5F"/>
        <rFont val="游ゴシック"/>
        <family val="0"/>
        <charset val="1"/>
      </rPr>
      <t xml:space="preserve">200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貸倒引当金 </t>
    </r>
    <r>
      <rPr>
        <sz val="10"/>
        <color rgb="FF1F3A5F"/>
        <rFont val="游ゴシック"/>
        <family val="0"/>
        <charset val="1"/>
      </rPr>
      <t xml:space="preserve">200
</t>
    </r>
    <r>
      <rPr>
        <sz val="10"/>
        <color rgb="FF1F3A5F"/>
        <rFont val="Linux Libertine G"/>
        <family val="2"/>
      </rPr>
      <t xml:space="preserve">【洗替法】
残高</t>
    </r>
    <r>
      <rPr>
        <sz val="10"/>
        <color rgb="FF1F3A5F"/>
        <rFont val="游ゴシック"/>
        <family val="0"/>
        <charset val="1"/>
      </rPr>
      <t xml:space="preserve">100</t>
    </r>
    <r>
      <rPr>
        <sz val="10"/>
        <color rgb="FF1F3A5F"/>
        <rFont val="Linux Libertine G"/>
        <family val="2"/>
      </rPr>
      <t xml:space="preserve">を戻し入れ、</t>
    </r>
    <r>
      <rPr>
        <sz val="10"/>
        <color rgb="FF1F3A5F"/>
        <rFont val="游ゴシック"/>
        <family val="0"/>
        <charset val="1"/>
      </rPr>
      <t xml:space="preserve">300</t>
    </r>
    <r>
      <rPr>
        <sz val="10"/>
        <color rgb="FF1F3A5F"/>
        <rFont val="Linux Libertine G"/>
        <family val="2"/>
      </rPr>
      <t xml:space="preserve">を改めて繰り入れる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貸倒引当金 </t>
    </r>
    <r>
      <rPr>
        <sz val="10"/>
        <color rgb="FF1F3A5F"/>
        <rFont val="游ゴシック"/>
        <family val="0"/>
        <charset val="1"/>
      </rPr>
      <t xml:space="preserve">100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貸倒引当金戻入 </t>
    </r>
    <r>
      <rPr>
        <sz val="10"/>
        <color rgb="FF1F3A5F"/>
        <rFont val="游ゴシック"/>
        <family val="0"/>
        <charset val="1"/>
      </rPr>
      <t xml:space="preserve">100
  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貸倒引当金繰入 </t>
    </r>
    <r>
      <rPr>
        <sz val="10"/>
        <color rgb="FF1F3A5F"/>
        <rFont val="游ゴシック"/>
        <family val="0"/>
        <charset val="1"/>
      </rPr>
      <t xml:space="preserve">300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貸倒引当金 </t>
    </r>
    <r>
      <rPr>
        <sz val="10"/>
        <color rgb="FF1F3A5F"/>
        <rFont val="游ゴシック"/>
        <family val="0"/>
        <charset val="1"/>
      </rPr>
      <t xml:space="preserve">300</t>
    </r>
  </si>
  <si>
    <t xml:space="preserve">4-9</t>
  </si>
  <si>
    <t xml:space="preserve">貸倒見積高の算定</t>
  </si>
  <si>
    <t xml:space="preserve">一般債権は貸倒実績率法、貸倒懸念債権は財務内容評価法など、債権の区分ごとに決める</t>
  </si>
  <si>
    <r>
      <rPr>
        <sz val="10"/>
        <color rgb="FF4A5D78"/>
        <rFont val="Linux Libertine G"/>
        <family val="2"/>
      </rPr>
      <t xml:space="preserve">一般債権</t>
    </r>
    <r>
      <rPr>
        <sz val="10"/>
        <color rgb="FF4A5D78"/>
        <rFont val="游ゴシック"/>
        <family val="0"/>
        <charset val="1"/>
      </rPr>
      <t xml:space="preserve">:</t>
    </r>
    <r>
      <rPr>
        <sz val="10"/>
        <color rgb="FF4A5D78"/>
        <rFont val="Linux Libertine G"/>
        <family val="2"/>
      </rPr>
      <t xml:space="preserve">過去</t>
    </r>
    <r>
      <rPr>
        <sz val="10"/>
        <color rgb="FF4A5D78"/>
        <rFont val="游ゴシック"/>
        <family val="0"/>
        <charset val="1"/>
      </rPr>
      <t xml:space="preserve">3</t>
    </r>
    <r>
      <rPr>
        <sz val="10"/>
        <color rgb="FF4A5D78"/>
        <rFont val="Linux Libertine G"/>
        <family val="2"/>
      </rPr>
      <t xml:space="preserve">年の貸倒実績率</t>
    </r>
  </si>
  <si>
    <t xml:space="preserve">4-10</t>
  </si>
  <si>
    <t xml:space="preserve">その他に計上する引当金</t>
  </si>
  <si>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複数可</t>
    </r>
    <r>
      <rPr>
        <sz val="11"/>
        <color rgb="FF1F3A5F"/>
        <rFont val="游ゴシック"/>
        <family val="0"/>
        <charset val="1"/>
      </rPr>
      <t xml:space="preserve">)</t>
    </r>
    <r>
      <rPr>
        <sz val="11"/>
        <color rgb="FF1F3A5F"/>
        <rFont val="Linux Libertine G"/>
        <family val="2"/>
      </rPr>
      <t xml:space="preserve">賞与引当金・退職給付引当金・修繕引当金・製品保証引当金</t>
    </r>
  </si>
  <si>
    <t xml:space="preserve">将来の費用で、発生の可能性が高く金額を見積もれるものを計上する</t>
  </si>
  <si>
    <t xml:space="preserve">賞与引当金</t>
  </si>
  <si>
    <t xml:space="preserve">4-11</t>
  </si>
  <si>
    <t xml:space="preserve">その他有価証券の評価差額</t>
  </si>
  <si>
    <r>
      <rPr>
        <sz val="11"/>
        <color rgb="FF1F3A5F"/>
        <rFont val="Linux Libertine G"/>
        <family val="2"/>
      </rPr>
      <t xml:space="preserve">全部純資産直入法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部分純資産直入法</t>
    </r>
  </si>
  <si>
    <r>
      <rPr>
        <sz val="11"/>
        <color rgb="FF1F3A5F"/>
        <rFont val="Linux Libertine G"/>
        <family val="2"/>
      </rPr>
      <t xml:space="preserve">違いが出るのは評価差損のとき。例</t>
    </r>
    <r>
      <rPr>
        <sz val="11"/>
        <color rgb="FF1F3A5F"/>
        <rFont val="游ゴシック"/>
        <family val="0"/>
        <charset val="1"/>
      </rPr>
      <t xml:space="preserve">:</t>
    </r>
    <r>
      <rPr>
        <sz val="11"/>
        <color rgb="FF1F3A5F"/>
        <rFont val="Linux Libertine G"/>
        <family val="2"/>
      </rPr>
      <t xml:space="preserve">取得原価</t>
    </r>
    <r>
      <rPr>
        <sz val="11"/>
        <color rgb="FF1F3A5F"/>
        <rFont val="游ゴシック"/>
        <family val="0"/>
        <charset val="1"/>
      </rPr>
      <t xml:space="preserve">1,000</t>
    </r>
    <r>
      <rPr>
        <sz val="11"/>
        <color rgb="FF1F3A5F"/>
        <rFont val="Linux Libertine G"/>
        <family val="2"/>
      </rPr>
      <t xml:space="preserve">、期末時価</t>
    </r>
    <r>
      <rPr>
        <sz val="11"/>
        <color rgb="FF1F3A5F"/>
        <rFont val="游ゴシック"/>
        <family val="0"/>
        <charset val="1"/>
      </rPr>
      <t xml:space="preserve">900</t>
    </r>
  </si>
  <si>
    <t xml:space="preserve">全部純資産直入法</t>
  </si>
  <si>
    <r>
      <rPr>
        <sz val="10"/>
        <color rgb="FF1F3A5F"/>
        <rFont val="Linux Libertine G"/>
        <family val="2"/>
      </rPr>
      <t xml:space="preserve">【全部純資産直入法】
評価差損も純資産に直接計上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税効果は省略</t>
    </r>
    <r>
      <rPr>
        <sz val="10"/>
        <color rgb="FF1F3A5F"/>
        <rFont val="游ゴシック"/>
        <family val="0"/>
        <charset val="1"/>
      </rPr>
      <t xml:space="preserve">)
  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その他有価証券評価差額金 </t>
    </r>
    <r>
      <rPr>
        <sz val="10"/>
        <color rgb="FF1F3A5F"/>
        <rFont val="游ゴシック"/>
        <family val="0"/>
        <charset val="1"/>
      </rPr>
      <t xml:space="preserve">100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その他有価証券 </t>
    </r>
    <r>
      <rPr>
        <sz val="10"/>
        <color rgb="FF1F3A5F"/>
        <rFont val="游ゴシック"/>
        <family val="0"/>
        <charset val="1"/>
      </rPr>
      <t xml:space="preserve">100
</t>
    </r>
    <r>
      <rPr>
        <sz val="10"/>
        <color rgb="FF1F3A5F"/>
        <rFont val="Linux Libertine G"/>
        <family val="2"/>
      </rPr>
      <t xml:space="preserve">【部分純資産直入法】
評価差損は当期の損失に計上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税効果は省略</t>
    </r>
    <r>
      <rPr>
        <sz val="10"/>
        <color rgb="FF1F3A5F"/>
        <rFont val="游ゴシック"/>
        <family val="0"/>
        <charset val="1"/>
      </rPr>
      <t xml:space="preserve">)
  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投資有価証券評価損 </t>
    </r>
    <r>
      <rPr>
        <sz val="10"/>
        <color rgb="FF1F3A5F"/>
        <rFont val="游ゴシック"/>
        <family val="0"/>
        <charset val="1"/>
      </rPr>
      <t xml:space="preserve">100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その他有価証券 </t>
    </r>
    <r>
      <rPr>
        <sz val="10"/>
        <color rgb="FF1F3A5F"/>
        <rFont val="游ゴシック"/>
        <family val="0"/>
        <charset val="1"/>
      </rPr>
      <t xml:space="preserve">100</t>
    </r>
  </si>
  <si>
    <t xml:space="preserve">4-12</t>
  </si>
  <si>
    <t xml:space="preserve">外貨建取引の換算レート</t>
  </si>
  <si>
    <t xml:space="preserve">取引日の直物レートが原則。前月末レートなど合理的なレートを使うこともある</t>
  </si>
  <si>
    <r>
      <rPr>
        <sz val="10"/>
        <color rgb="FF4A5D78"/>
        <rFont val="Linux Libertine G"/>
        <family val="2"/>
      </rPr>
      <t xml:space="preserve">取引日の直物レート</t>
    </r>
    <r>
      <rPr>
        <sz val="10"/>
        <color rgb="FF4A5D78"/>
        <rFont val="游ゴシック"/>
        <family val="0"/>
        <charset val="1"/>
      </rPr>
      <t xml:space="preserve">(TTM)</t>
    </r>
  </si>
  <si>
    <t xml:space="preserve">4-13</t>
  </si>
  <si>
    <t xml:space="preserve">税効果会計</t>
  </si>
  <si>
    <r>
      <rPr>
        <sz val="11"/>
        <color rgb="FF1F3A5F"/>
        <rFont val="Linux Libertine G"/>
        <family val="2"/>
      </rPr>
      <t xml:space="preserve">適用する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適用しない</t>
    </r>
  </si>
  <si>
    <t xml:space="preserve">会計上の利益と税務上の所得のズレのうち、一時差異を調整する</t>
  </si>
  <si>
    <t xml:space="preserve">適用する</t>
  </si>
  <si>
    <r>
      <rPr>
        <sz val="10"/>
        <color rgb="FF1F3A5F"/>
        <rFont val="Linux Libertine G"/>
        <family val="2"/>
      </rPr>
      <t xml:space="preserve">【適用する】
減価償却の損金算入限度超過額</t>
    </r>
    <r>
      <rPr>
        <sz val="10"/>
        <color rgb="FF1F3A5F"/>
        <rFont val="游ゴシック"/>
        <family val="0"/>
        <charset val="1"/>
      </rPr>
      <t xml:space="preserve">1,000</t>
    </r>
    <r>
      <rPr>
        <sz val="10"/>
        <color rgb="FF1F3A5F"/>
        <rFont val="Linux Libertine G"/>
        <family val="2"/>
      </rPr>
      <t xml:space="preserve">、実効税率</t>
    </r>
    <r>
      <rPr>
        <sz val="10"/>
        <color rgb="FF1F3A5F"/>
        <rFont val="游ゴシック"/>
        <family val="0"/>
        <charset val="1"/>
      </rPr>
      <t xml:space="preserve">30%
  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繰延税金資産 </t>
    </r>
    <r>
      <rPr>
        <sz val="10"/>
        <color rgb="FF1F3A5F"/>
        <rFont val="游ゴシック"/>
        <family val="0"/>
        <charset val="1"/>
      </rPr>
      <t xml:space="preserve">300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法人税等調整額 </t>
    </r>
    <r>
      <rPr>
        <sz val="10"/>
        <color rgb="FF1F3A5F"/>
        <rFont val="游ゴシック"/>
        <family val="0"/>
        <charset val="1"/>
      </rPr>
      <t xml:space="preserve">300</t>
    </r>
  </si>
  <si>
    <t xml:space="preserve">⑤ 日常取引の記帳ルール ― 取引ごとに“仕訳の型”を決める</t>
  </si>
  <si>
    <t xml:space="preserve">5-1</t>
  </si>
  <si>
    <t xml:space="preserve">日常取引の記帳ルール</t>
  </si>
  <si>
    <t xml:space="preserve">小口現金</t>
  </si>
  <si>
    <r>
      <rPr>
        <sz val="11"/>
        <color rgb="FF1F3A5F"/>
        <rFont val="Linux Libertine G"/>
        <family val="2"/>
      </rPr>
      <t xml:space="preserve">定額資金前渡法</t>
    </r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インプレスト・システム</t>
    </r>
    <r>
      <rPr>
        <sz val="11"/>
        <color rgb="FF1F3A5F"/>
        <rFont val="游ゴシック"/>
        <family val="0"/>
        <charset val="1"/>
      </rPr>
      <t xml:space="preserve">) / </t>
    </r>
    <r>
      <rPr>
        <sz val="11"/>
        <color rgb="FF1F3A5F"/>
        <rFont val="Linux Libertine G"/>
        <family val="2"/>
      </rPr>
      <t xml:space="preserve">随時補給法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小口現金を置かない</t>
    </r>
  </si>
  <si>
    <t xml:space="preserve">定額資金前渡法は、使った分だけを補給して毎回同じ額に戻す</t>
  </si>
  <si>
    <r>
      <rPr>
        <sz val="10"/>
        <color rgb="FF4A5D78"/>
        <rFont val="Linux Libertine G"/>
        <family val="2"/>
      </rPr>
      <t xml:space="preserve">定額資金前渡法</t>
    </r>
    <r>
      <rPr>
        <sz val="10"/>
        <color rgb="FF4A5D78"/>
        <rFont val="游ゴシック"/>
        <family val="0"/>
        <charset val="1"/>
      </rPr>
      <t xml:space="preserve">(</t>
    </r>
    <r>
      <rPr>
        <sz val="10"/>
        <color rgb="FF4A5D78"/>
        <rFont val="Linux Libertine G"/>
        <family val="2"/>
      </rPr>
      <t xml:space="preserve">インプレスト・システム</t>
    </r>
    <r>
      <rPr>
        <sz val="10"/>
        <color rgb="FF4A5D78"/>
        <rFont val="游ゴシック"/>
        <family val="0"/>
        <charset val="1"/>
      </rPr>
      <t xml:space="preserve">)</t>
    </r>
  </si>
  <si>
    <r>
      <rPr>
        <sz val="10"/>
        <color rgb="FF1F3A5F"/>
        <rFont val="Linux Libertine G"/>
        <family val="2"/>
      </rPr>
      <t xml:space="preserve">【定額資金前渡法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インプレスト・システム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】
</t>
    </r>
    <r>
      <rPr>
        <sz val="10"/>
        <color rgb="FF1F3A5F"/>
        <rFont val="游ゴシック"/>
        <family val="0"/>
        <charset val="1"/>
      </rPr>
      <t xml:space="preserve">30,000</t>
    </r>
    <r>
      <rPr>
        <sz val="10"/>
        <color rgb="FF1F3A5F"/>
        <rFont val="Linux Libertine G"/>
        <family val="2"/>
      </rPr>
      <t xml:space="preserve">を前渡し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小口現金 </t>
    </r>
    <r>
      <rPr>
        <sz val="10"/>
        <color rgb="FF1F3A5F"/>
        <rFont val="游ゴシック"/>
        <family val="0"/>
        <charset val="1"/>
      </rPr>
      <t xml:space="preserve">30,000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当座預金 </t>
    </r>
    <r>
      <rPr>
        <sz val="10"/>
        <color rgb="FF1F3A5F"/>
        <rFont val="游ゴシック"/>
        <family val="0"/>
        <charset val="1"/>
      </rPr>
      <t xml:space="preserve">30,000
</t>
    </r>
    <r>
      <rPr>
        <sz val="10"/>
        <color rgb="FF1F3A5F"/>
        <rFont val="Linux Libertine G"/>
        <family val="2"/>
      </rPr>
      <t xml:space="preserve">使った分の報告を受け、すぐ補給した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旅費交通費 </t>
    </r>
    <r>
      <rPr>
        <sz val="10"/>
        <color rgb="FF1F3A5F"/>
        <rFont val="游ゴシック"/>
        <family val="0"/>
        <charset val="1"/>
      </rPr>
      <t xml:space="preserve">8,000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当座預金 </t>
    </r>
    <r>
      <rPr>
        <sz val="10"/>
        <color rgb="FF1F3A5F"/>
        <rFont val="游ゴシック"/>
        <family val="0"/>
        <charset val="1"/>
      </rPr>
      <t xml:space="preserve">13,000
  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消耗品費 </t>
    </r>
    <r>
      <rPr>
        <sz val="10"/>
        <color rgb="FF1F3A5F"/>
        <rFont val="游ゴシック"/>
        <family val="0"/>
        <charset val="1"/>
      </rPr>
      <t xml:space="preserve">5,000</t>
    </r>
  </si>
  <si>
    <t xml:space="preserve">5-2</t>
  </si>
  <si>
    <t xml:space="preserve">現金過不足の処理</t>
  </si>
  <si>
    <t xml:space="preserve">原因が分かるまでは現金過不足で処理し、決算まで分からなければ雑損・雑益へ</t>
  </si>
  <si>
    <t xml:space="preserve">原因不明分は決算で雑損・雑益に振替</t>
  </si>
  <si>
    <r>
      <rPr>
        <sz val="10"/>
        <color rgb="FF1F3A5F"/>
        <rFont val="Linux Libertine G"/>
        <family val="2"/>
      </rPr>
      <t xml:space="preserve">帳簿より現金が</t>
    </r>
    <r>
      <rPr>
        <sz val="10"/>
        <color rgb="FF1F3A5F"/>
        <rFont val="游ゴシック"/>
        <family val="0"/>
        <charset val="1"/>
      </rPr>
      <t xml:space="preserve">500</t>
    </r>
    <r>
      <rPr>
        <sz val="10"/>
        <color rgb="FF1F3A5F"/>
        <rFont val="Linux Libertine G"/>
        <family val="2"/>
      </rPr>
      <t xml:space="preserve">少なかった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現金過不足 </t>
    </r>
    <r>
      <rPr>
        <sz val="10"/>
        <color rgb="FF1F3A5F"/>
        <rFont val="游ゴシック"/>
        <family val="0"/>
        <charset val="1"/>
      </rPr>
      <t xml:space="preserve">500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現金 </t>
    </r>
    <r>
      <rPr>
        <sz val="10"/>
        <color rgb="FF1F3A5F"/>
        <rFont val="游ゴシック"/>
        <family val="0"/>
        <charset val="1"/>
      </rPr>
      <t xml:space="preserve">500
</t>
    </r>
    <r>
      <rPr>
        <sz val="10"/>
        <color rgb="FF1F3A5F"/>
        <rFont val="Linux Libertine G"/>
        <family val="2"/>
      </rPr>
      <t xml:space="preserve">決算</t>
    </r>
    <r>
      <rPr>
        <sz val="10"/>
        <color rgb="FF1F3A5F"/>
        <rFont val="游ゴシック"/>
        <family val="0"/>
        <charset val="1"/>
      </rPr>
      <t xml:space="preserve">:</t>
    </r>
    <r>
      <rPr>
        <sz val="10"/>
        <color rgb="FF1F3A5F"/>
        <rFont val="Linux Libertine G"/>
        <family val="2"/>
      </rPr>
      <t xml:space="preserve">原因が分からなかった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雑損 </t>
    </r>
    <r>
      <rPr>
        <sz val="10"/>
        <color rgb="FF1F3A5F"/>
        <rFont val="游ゴシック"/>
        <family val="0"/>
        <charset val="1"/>
      </rPr>
      <t xml:space="preserve">500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現金過不足 </t>
    </r>
    <r>
      <rPr>
        <sz val="10"/>
        <color rgb="FF1F3A5F"/>
        <rFont val="游ゴシック"/>
        <family val="0"/>
        <charset val="1"/>
      </rPr>
      <t xml:space="preserve">500</t>
    </r>
  </si>
  <si>
    <t xml:space="preserve">5-3</t>
  </si>
  <si>
    <t xml:space="preserve">受け取る・支払う手段</t>
  </si>
  <si>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複数可</t>
    </r>
    <r>
      <rPr>
        <sz val="11"/>
        <color rgb="FF1F3A5F"/>
        <rFont val="游ゴシック"/>
        <family val="0"/>
        <charset val="1"/>
      </rPr>
      <t xml:space="preserve">)</t>
    </r>
    <r>
      <rPr>
        <sz val="11"/>
        <color rgb="FF1F3A5F"/>
        <rFont val="Linux Libertine G"/>
        <family val="2"/>
      </rPr>
      <t xml:space="preserve">約束手形・電子記録債権・債務・クレジット払い・銀行振込のみ</t>
    </r>
  </si>
  <si>
    <t xml:space="preserve">使う手段ごとに勘定科目を用意する</t>
  </si>
  <si>
    <t xml:space="preserve">電子記録債権・債務・銀行振込のみ</t>
  </si>
  <si>
    <t xml:space="preserve">5-4</t>
  </si>
  <si>
    <t xml:space="preserve">クレジット売上の手数料</t>
  </si>
  <si>
    <r>
      <rPr>
        <sz val="11"/>
        <color rgb="FF1F3A5F"/>
        <rFont val="Linux Libertine G"/>
        <family val="2"/>
      </rPr>
      <t xml:space="preserve">販売時に計上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入金時に計上</t>
    </r>
  </si>
  <si>
    <r>
      <rPr>
        <sz val="11"/>
        <color rgb="FF1F3A5F"/>
        <rFont val="Linux Libertine G"/>
        <family val="2"/>
      </rPr>
      <t xml:space="preserve">例</t>
    </r>
    <r>
      <rPr>
        <sz val="11"/>
        <color rgb="FF1F3A5F"/>
        <rFont val="游ゴシック"/>
        <family val="0"/>
        <charset val="1"/>
      </rPr>
      <t xml:space="preserve">:</t>
    </r>
    <r>
      <rPr>
        <sz val="11"/>
        <color rgb="FF1F3A5F"/>
        <rFont val="Linux Libertine G"/>
        <family val="2"/>
      </rPr>
      <t xml:space="preserve">売上</t>
    </r>
    <r>
      <rPr>
        <sz val="11"/>
        <color rgb="FF1F3A5F"/>
        <rFont val="游ゴシック"/>
        <family val="0"/>
        <charset val="1"/>
      </rPr>
      <t xml:space="preserve">100,000</t>
    </r>
    <r>
      <rPr>
        <sz val="11"/>
        <color rgb="FF1F3A5F"/>
        <rFont val="Linux Libertine G"/>
        <family val="2"/>
      </rPr>
      <t xml:space="preserve">、手数料</t>
    </r>
    <r>
      <rPr>
        <sz val="11"/>
        <color rgb="FF1F3A5F"/>
        <rFont val="游ゴシック"/>
        <family val="0"/>
        <charset val="1"/>
      </rPr>
      <t xml:space="preserve">4%</t>
    </r>
  </si>
  <si>
    <t xml:space="preserve">販売時に計上</t>
  </si>
  <si>
    <r>
      <rPr>
        <sz val="10"/>
        <color rgb="FF1F3A5F"/>
        <rFont val="Linux Libertine G"/>
        <family val="2"/>
      </rPr>
      <t xml:space="preserve">【販売時に計上】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クレジット売掛金 </t>
    </r>
    <r>
      <rPr>
        <sz val="10"/>
        <color rgb="FF1F3A5F"/>
        <rFont val="游ゴシック"/>
        <family val="0"/>
        <charset val="1"/>
      </rPr>
      <t xml:space="preserve">96,000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売上 </t>
    </r>
    <r>
      <rPr>
        <sz val="10"/>
        <color rgb="FF1F3A5F"/>
        <rFont val="游ゴシック"/>
        <family val="0"/>
        <charset val="1"/>
      </rPr>
      <t xml:space="preserve">100,000
  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支払手数料 </t>
    </r>
    <r>
      <rPr>
        <sz val="10"/>
        <color rgb="FF1F3A5F"/>
        <rFont val="游ゴシック"/>
        <family val="0"/>
        <charset val="1"/>
      </rPr>
      <t xml:space="preserve">4,000
</t>
    </r>
    <r>
      <rPr>
        <sz val="10"/>
        <color rgb="FF1F3A5F"/>
        <rFont val="Linux Libertine G"/>
        <family val="2"/>
      </rPr>
      <t xml:space="preserve">【入金時に計上】
販売時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クレジット売掛金 </t>
    </r>
    <r>
      <rPr>
        <sz val="10"/>
        <color rgb="FF1F3A5F"/>
        <rFont val="游ゴシック"/>
        <family val="0"/>
        <charset val="1"/>
      </rPr>
      <t xml:space="preserve">100,000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売上 </t>
    </r>
    <r>
      <rPr>
        <sz val="10"/>
        <color rgb="FF1F3A5F"/>
        <rFont val="游ゴシック"/>
        <family val="0"/>
        <charset val="1"/>
      </rPr>
      <t xml:space="preserve">100,000
</t>
    </r>
    <r>
      <rPr>
        <sz val="10"/>
        <color rgb="FF1F3A5F"/>
        <rFont val="Linux Libertine G"/>
        <family val="2"/>
      </rPr>
      <t xml:space="preserve">入金時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普通預金 </t>
    </r>
    <r>
      <rPr>
        <sz val="10"/>
        <color rgb="FF1F3A5F"/>
        <rFont val="游ゴシック"/>
        <family val="0"/>
        <charset val="1"/>
      </rPr>
      <t xml:space="preserve">96,000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クレジット売掛金 </t>
    </r>
    <r>
      <rPr>
        <sz val="10"/>
        <color rgb="FF1F3A5F"/>
        <rFont val="游ゴシック"/>
        <family val="0"/>
        <charset val="1"/>
      </rPr>
      <t xml:space="preserve">100,000
  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支払手数料 </t>
    </r>
    <r>
      <rPr>
        <sz val="10"/>
        <color rgb="FF1F3A5F"/>
        <rFont val="游ゴシック"/>
        <family val="0"/>
        <charset val="1"/>
      </rPr>
      <t xml:space="preserve">4,000</t>
    </r>
  </si>
  <si>
    <t xml:space="preserve">5-5</t>
  </si>
  <si>
    <t xml:space="preserve">給与の預り金</t>
  </si>
  <si>
    <r>
      <rPr>
        <sz val="11"/>
        <color rgb="FF1F3A5F"/>
        <rFont val="Linux Libertine G"/>
        <family val="2"/>
      </rPr>
      <t xml:space="preserve">内容ごとに分ける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預り金</t>
    </r>
    <r>
      <rPr>
        <sz val="11"/>
        <color rgb="FF1F3A5F"/>
        <rFont val="游ゴシック"/>
        <family val="0"/>
        <charset val="1"/>
      </rPr>
      <t xml:space="preserve">1</t>
    </r>
    <r>
      <rPr>
        <sz val="11"/>
        <color rgb="FF1F3A5F"/>
        <rFont val="Linux Libertine G"/>
        <family val="2"/>
      </rPr>
      <t xml:space="preserve">つにまとめる</t>
    </r>
  </si>
  <si>
    <t xml:space="preserve">源泉所得税・住民税・社会保険料を分けると、納付額の確認がしやすい</t>
  </si>
  <si>
    <t xml:space="preserve">内容ごとに分ける</t>
  </si>
  <si>
    <r>
      <rPr>
        <sz val="10"/>
        <color rgb="FF1F3A5F"/>
        <rFont val="Linux Libertine G"/>
        <family val="2"/>
      </rPr>
      <t xml:space="preserve">【内容ごとに分ける】
給料</t>
    </r>
    <r>
      <rPr>
        <sz val="10"/>
        <color rgb="FF1F3A5F"/>
        <rFont val="游ゴシック"/>
        <family val="0"/>
        <charset val="1"/>
      </rPr>
      <t xml:space="preserve">300,000</t>
    </r>
    <r>
      <rPr>
        <sz val="10"/>
        <color rgb="FF1F3A5F"/>
        <rFont val="Linux Libertine G"/>
        <family val="2"/>
      </rPr>
      <t xml:space="preserve">を普通預金から支払った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給料 </t>
    </r>
    <r>
      <rPr>
        <sz val="10"/>
        <color rgb="FF1F3A5F"/>
        <rFont val="游ゴシック"/>
        <family val="0"/>
        <charset val="1"/>
      </rPr>
      <t xml:space="preserve">300,000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所得税預り金 </t>
    </r>
    <r>
      <rPr>
        <sz val="10"/>
        <color rgb="FF1F3A5F"/>
        <rFont val="游ゴシック"/>
        <family val="0"/>
        <charset val="1"/>
      </rPr>
      <t xml:space="preserve">20,000
  　　　／　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社会保険料預り金 </t>
    </r>
    <r>
      <rPr>
        <sz val="10"/>
        <color rgb="FF1F3A5F"/>
        <rFont val="游ゴシック"/>
        <family val="0"/>
        <charset val="1"/>
      </rPr>
      <t xml:space="preserve">40,000
  　　　／　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普通預金 </t>
    </r>
    <r>
      <rPr>
        <sz val="10"/>
        <color rgb="FF1F3A5F"/>
        <rFont val="游ゴシック"/>
        <family val="0"/>
        <charset val="1"/>
      </rPr>
      <t xml:space="preserve">240,000
</t>
    </r>
    <r>
      <rPr>
        <sz val="10"/>
        <color rgb="FF1F3A5F"/>
        <rFont val="Linux Libertine G"/>
        <family val="2"/>
      </rPr>
      <t xml:space="preserve">【預り金</t>
    </r>
    <r>
      <rPr>
        <sz val="10"/>
        <color rgb="FF1F3A5F"/>
        <rFont val="游ゴシック"/>
        <family val="0"/>
        <charset val="1"/>
      </rPr>
      <t xml:space="preserve">1</t>
    </r>
    <r>
      <rPr>
        <sz val="10"/>
        <color rgb="FF1F3A5F"/>
        <rFont val="Linux Libertine G"/>
        <family val="2"/>
      </rPr>
      <t xml:space="preserve">つにまとめる】
給料</t>
    </r>
    <r>
      <rPr>
        <sz val="10"/>
        <color rgb="FF1F3A5F"/>
        <rFont val="游ゴシック"/>
        <family val="0"/>
        <charset val="1"/>
      </rPr>
      <t xml:space="preserve">300,000</t>
    </r>
    <r>
      <rPr>
        <sz val="10"/>
        <color rgb="FF1F3A5F"/>
        <rFont val="Linux Libertine G"/>
        <family val="2"/>
      </rPr>
      <t xml:space="preserve">を普通預金から支払った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給料 </t>
    </r>
    <r>
      <rPr>
        <sz val="10"/>
        <color rgb="FF1F3A5F"/>
        <rFont val="游ゴシック"/>
        <family val="0"/>
        <charset val="1"/>
      </rPr>
      <t xml:space="preserve">300,000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預り金 </t>
    </r>
    <r>
      <rPr>
        <sz val="10"/>
        <color rgb="FF1F3A5F"/>
        <rFont val="游ゴシック"/>
        <family val="0"/>
        <charset val="1"/>
      </rPr>
      <t xml:space="preserve">60,000
  　　　／　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普通預金 </t>
    </r>
    <r>
      <rPr>
        <sz val="10"/>
        <color rgb="FF1F3A5F"/>
        <rFont val="游ゴシック"/>
        <family val="0"/>
        <charset val="1"/>
      </rPr>
      <t xml:space="preserve">240,000</t>
    </r>
  </si>
  <si>
    <t xml:space="preserve">5-6</t>
  </si>
  <si>
    <r>
      <rPr>
        <b val="true"/>
        <sz val="11"/>
        <color rgb="FF1F3A5F"/>
        <rFont val="Linux Libertine G"/>
        <family val="2"/>
      </rPr>
      <t xml:space="preserve">経過勘定</t>
    </r>
    <r>
      <rPr>
        <b val="true"/>
        <sz val="11"/>
        <color rgb="FF1F3A5F"/>
        <rFont val="游ゴシック"/>
        <family val="0"/>
        <charset val="1"/>
      </rPr>
      <t xml:space="preserve">(</t>
    </r>
    <r>
      <rPr>
        <b val="true"/>
        <sz val="11"/>
        <color rgb="FF1F3A5F"/>
        <rFont val="Linux Libertine G"/>
        <family val="2"/>
      </rPr>
      <t xml:space="preserve">前払・未払など</t>
    </r>
    <r>
      <rPr>
        <b val="true"/>
        <sz val="11"/>
        <color rgb="FF1F3A5F"/>
        <rFont val="游ゴシック"/>
        <family val="0"/>
        <charset val="1"/>
      </rPr>
      <t xml:space="preserve">)</t>
    </r>
    <r>
      <rPr>
        <b val="true"/>
        <sz val="11"/>
        <color rgb="FF1F3A5F"/>
        <rFont val="Linux Libertine G"/>
        <family val="2"/>
      </rPr>
      <t xml:space="preserve">の計上</t>
    </r>
  </si>
  <si>
    <r>
      <rPr>
        <sz val="11"/>
        <color rgb="FF1F3A5F"/>
        <rFont val="Linux Libertine G"/>
        <family val="2"/>
      </rPr>
      <t xml:space="preserve">毎月計上する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決算時だけ計上する</t>
    </r>
  </si>
  <si>
    <t xml:space="preserve">月次決算をするなら毎月計上する</t>
  </si>
  <si>
    <t xml:space="preserve">毎月計上する</t>
  </si>
  <si>
    <t xml:space="preserve">5-7</t>
  </si>
  <si>
    <t xml:space="preserve">期首の再振替仕訳</t>
  </si>
  <si>
    <r>
      <rPr>
        <sz val="11"/>
        <color rgb="FF1F3A5F"/>
        <rFont val="Linux Libertine G"/>
        <family val="2"/>
      </rPr>
      <t xml:space="preserve">行う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行わない</t>
    </r>
  </si>
  <si>
    <t xml:space="preserve">経過勘定を期首に元の費用・収益の勘定へ戻す</t>
  </si>
  <si>
    <t xml:space="preserve">行う</t>
  </si>
  <si>
    <r>
      <rPr>
        <sz val="10"/>
        <color rgb="FF1F3A5F"/>
        <rFont val="Linux Libertine G"/>
        <family val="2"/>
      </rPr>
      <t xml:space="preserve">【行う】
決算</t>
    </r>
    <r>
      <rPr>
        <sz val="10"/>
        <color rgb="FF1F3A5F"/>
        <rFont val="游ゴシック"/>
        <family val="0"/>
        <charset val="1"/>
      </rPr>
      <t xml:space="preserve">:</t>
    </r>
    <r>
      <rPr>
        <sz val="10"/>
        <color rgb="FF1F3A5F"/>
        <rFont val="Linux Libertine G"/>
        <family val="2"/>
      </rPr>
      <t xml:space="preserve">家賃</t>
    </r>
    <r>
      <rPr>
        <sz val="10"/>
        <color rgb="FF1F3A5F"/>
        <rFont val="游ゴシック"/>
        <family val="0"/>
        <charset val="1"/>
      </rPr>
      <t xml:space="preserve">10,000</t>
    </r>
    <r>
      <rPr>
        <sz val="10"/>
        <color rgb="FF1F3A5F"/>
        <rFont val="Linux Libertine G"/>
        <family val="2"/>
      </rPr>
      <t xml:space="preserve">が未払い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支払家賃 </t>
    </r>
    <r>
      <rPr>
        <sz val="10"/>
        <color rgb="FF1F3A5F"/>
        <rFont val="游ゴシック"/>
        <family val="0"/>
        <charset val="1"/>
      </rPr>
      <t xml:space="preserve">10,000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未払家賃 </t>
    </r>
    <r>
      <rPr>
        <sz val="10"/>
        <color rgb="FF1F3A5F"/>
        <rFont val="游ゴシック"/>
        <family val="0"/>
        <charset val="1"/>
      </rPr>
      <t xml:space="preserve">10,000
</t>
    </r>
    <r>
      <rPr>
        <sz val="10"/>
        <color rgb="FF1F3A5F"/>
        <rFont val="Linux Libertine G"/>
        <family val="2"/>
      </rPr>
      <t xml:space="preserve">翌期首</t>
    </r>
    <r>
      <rPr>
        <sz val="10"/>
        <color rgb="FF1F3A5F"/>
        <rFont val="游ゴシック"/>
        <family val="0"/>
        <charset val="1"/>
      </rPr>
      <t xml:space="preserve">:</t>
    </r>
    <r>
      <rPr>
        <sz val="10"/>
        <color rgb="FF1F3A5F"/>
        <rFont val="Linux Libertine G"/>
        <family val="2"/>
      </rPr>
      <t xml:space="preserve">再振替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未払家賃 </t>
    </r>
    <r>
      <rPr>
        <sz val="10"/>
        <color rgb="FF1F3A5F"/>
        <rFont val="游ゴシック"/>
        <family val="0"/>
        <charset val="1"/>
      </rPr>
      <t xml:space="preserve">10,000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支払家賃 </t>
    </r>
    <r>
      <rPr>
        <sz val="10"/>
        <color rgb="FF1F3A5F"/>
        <rFont val="游ゴシック"/>
        <family val="0"/>
        <charset val="1"/>
      </rPr>
      <t xml:space="preserve">10,000</t>
    </r>
  </si>
  <si>
    <t xml:space="preserve">5-8</t>
  </si>
  <si>
    <t xml:space="preserve">証憑と承認の流れ</t>
  </si>
  <si>
    <t xml:space="preserve">どの書類を根拠に、誰が起票して誰が承認するか</t>
  </si>
  <si>
    <t xml:space="preserve">請求書を経理が起票 → 課長が承認 → 月末に支払</t>
  </si>
  <si>
    <t xml:space="preserve">5-9</t>
  </si>
  <si>
    <t xml:space="preserve">仮払金・仮受金の精算期限</t>
  </si>
  <si>
    <t xml:space="preserve">長く残ると内容が分からなくなるので期限を決める</t>
  </si>
  <si>
    <t xml:space="preserve">発生した月の月末まで</t>
  </si>
  <si>
    <t xml:space="preserve">⑥ 月次・決算プロセス ― 締めの手順とスケジュール</t>
  </si>
  <si>
    <t xml:space="preserve">6-1</t>
  </si>
  <si>
    <t xml:space="preserve">月次・決算プロセス</t>
  </si>
  <si>
    <t xml:space="preserve">売上・仕入の締め日</t>
  </si>
  <si>
    <r>
      <rPr>
        <sz val="11"/>
        <color rgb="FF1F3A5F"/>
        <rFont val="Linux Libertine G"/>
        <family val="2"/>
      </rPr>
      <t xml:space="preserve">例</t>
    </r>
    <r>
      <rPr>
        <sz val="11"/>
        <color rgb="FF1F3A5F"/>
        <rFont val="游ゴシック"/>
        <family val="0"/>
        <charset val="1"/>
      </rPr>
      <t xml:space="preserve">:</t>
    </r>
    <r>
      <rPr>
        <sz val="11"/>
        <color rgb="FF1F3A5F"/>
        <rFont val="Linux Libertine G"/>
        <family val="2"/>
      </rPr>
      <t xml:space="preserve">末日締め、</t>
    </r>
    <r>
      <rPr>
        <sz val="11"/>
        <color rgb="FF1F3A5F"/>
        <rFont val="游ゴシック"/>
        <family val="0"/>
        <charset val="1"/>
      </rPr>
      <t xml:space="preserve">20</t>
    </r>
    <r>
      <rPr>
        <sz val="11"/>
        <color rgb="FF1F3A5F"/>
        <rFont val="Linux Libertine G"/>
        <family val="2"/>
      </rPr>
      <t xml:space="preserve">日締め</t>
    </r>
  </si>
  <si>
    <t xml:space="preserve">末日締め</t>
  </si>
  <si>
    <t xml:space="preserve">6-2</t>
  </si>
  <si>
    <t xml:space="preserve">月次決算の完了期限</t>
  </si>
  <si>
    <r>
      <rPr>
        <sz val="11"/>
        <color rgb="FF1F3A5F"/>
        <rFont val="Linux Libertine G"/>
        <family val="2"/>
      </rPr>
      <t xml:space="preserve">例</t>
    </r>
    <r>
      <rPr>
        <sz val="11"/>
        <color rgb="FF1F3A5F"/>
        <rFont val="游ゴシック"/>
        <family val="0"/>
        <charset val="1"/>
      </rPr>
      <t xml:space="preserve">:</t>
    </r>
    <r>
      <rPr>
        <sz val="11"/>
        <color rgb="FF1F3A5F"/>
        <rFont val="Linux Libertine G"/>
        <family val="2"/>
      </rPr>
      <t xml:space="preserve">翌月</t>
    </r>
    <r>
      <rPr>
        <sz val="11"/>
        <color rgb="FF1F3A5F"/>
        <rFont val="游ゴシック"/>
        <family val="0"/>
        <charset val="1"/>
      </rPr>
      <t xml:space="preserve">10</t>
    </r>
    <r>
      <rPr>
        <sz val="11"/>
        <color rgb="FF1F3A5F"/>
        <rFont val="Linux Libertine G"/>
        <family val="2"/>
      </rPr>
      <t xml:space="preserve">営業日まで</t>
    </r>
  </si>
  <si>
    <r>
      <rPr>
        <sz val="10"/>
        <color rgb="FF4A5D78"/>
        <rFont val="Linux Libertine G"/>
        <family val="2"/>
      </rPr>
      <t xml:space="preserve">翌月</t>
    </r>
    <r>
      <rPr>
        <sz val="10"/>
        <color rgb="FF4A5D78"/>
        <rFont val="游ゴシック"/>
        <family val="0"/>
        <charset val="1"/>
      </rPr>
      <t xml:space="preserve">10</t>
    </r>
    <r>
      <rPr>
        <sz val="10"/>
        <color rgb="FF4A5D78"/>
        <rFont val="Linux Libertine G"/>
        <family val="2"/>
      </rPr>
      <t xml:space="preserve">営業日まで</t>
    </r>
  </si>
  <si>
    <t xml:space="preserve">6-3</t>
  </si>
  <si>
    <t xml:space="preserve">作る試算表</t>
  </si>
  <si>
    <r>
      <rPr>
        <sz val="11"/>
        <color rgb="FF1F3A5F"/>
        <rFont val="Linux Libertine G"/>
        <family val="2"/>
      </rPr>
      <t xml:space="preserve">合計残高試算表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残高試算表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合計試算表</t>
    </r>
  </si>
  <si>
    <t xml:space="preserve">合計残高試算表なら、取引の量と残高を両方確認できる</t>
  </si>
  <si>
    <t xml:space="preserve">合計残高試算表</t>
  </si>
  <si>
    <t xml:space="preserve">6-4</t>
  </si>
  <si>
    <t xml:space="preserve">実地棚卸</t>
  </si>
  <si>
    <r>
      <rPr>
        <sz val="11"/>
        <color rgb="FF1F3A5F"/>
        <rFont val="Linux Libertine G"/>
        <family val="2"/>
      </rPr>
      <t xml:space="preserve">年</t>
    </r>
    <r>
      <rPr>
        <sz val="11"/>
        <color rgb="FF1F3A5F"/>
        <rFont val="游ゴシック"/>
        <family val="0"/>
        <charset val="1"/>
      </rPr>
      <t xml:space="preserve">1</t>
    </r>
    <r>
      <rPr>
        <sz val="11"/>
        <color rgb="FF1F3A5F"/>
        <rFont val="Linux Libertine G"/>
        <family val="2"/>
      </rPr>
      <t xml:space="preserve">回</t>
    </r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決算時</t>
    </r>
    <r>
      <rPr>
        <sz val="11"/>
        <color rgb="FF1F3A5F"/>
        <rFont val="游ゴシック"/>
        <family val="0"/>
        <charset val="1"/>
      </rPr>
      <t xml:space="preserve">) / </t>
    </r>
    <r>
      <rPr>
        <sz val="11"/>
        <color rgb="FF1F3A5F"/>
        <rFont val="Linux Libertine G"/>
        <family val="2"/>
      </rPr>
      <t xml:space="preserve">毎月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循環棚卸</t>
    </r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場所ごとに順番に</t>
    </r>
    <r>
      <rPr>
        <sz val="11"/>
        <color rgb="FF1F3A5F"/>
        <rFont val="游ゴシック"/>
        <family val="0"/>
        <charset val="1"/>
      </rPr>
      <t xml:space="preserve">)</t>
    </r>
  </si>
  <si>
    <t xml:space="preserve">帳簿の数量と実際の数量の差は棚卸減耗損になる</t>
  </si>
  <si>
    <r>
      <rPr>
        <sz val="10"/>
        <color rgb="FF4A5D78"/>
        <rFont val="Linux Libertine G"/>
        <family val="2"/>
      </rPr>
      <t xml:space="preserve">年</t>
    </r>
    <r>
      <rPr>
        <sz val="10"/>
        <color rgb="FF4A5D78"/>
        <rFont val="游ゴシック"/>
        <family val="0"/>
        <charset val="1"/>
      </rPr>
      <t xml:space="preserve">1</t>
    </r>
    <r>
      <rPr>
        <sz val="10"/>
        <color rgb="FF4A5D78"/>
        <rFont val="Linux Libertine G"/>
        <family val="2"/>
      </rPr>
      <t xml:space="preserve">回</t>
    </r>
    <r>
      <rPr>
        <sz val="10"/>
        <color rgb="FF4A5D78"/>
        <rFont val="游ゴシック"/>
        <family val="0"/>
        <charset val="1"/>
      </rPr>
      <t xml:space="preserve">(</t>
    </r>
    <r>
      <rPr>
        <sz val="10"/>
        <color rgb="FF4A5D78"/>
        <rFont val="Linux Libertine G"/>
        <family val="2"/>
      </rPr>
      <t xml:space="preserve">決算時</t>
    </r>
    <r>
      <rPr>
        <sz val="10"/>
        <color rgb="FF4A5D78"/>
        <rFont val="游ゴシック"/>
        <family val="0"/>
        <charset val="1"/>
      </rPr>
      <t xml:space="preserve">)</t>
    </r>
  </si>
  <si>
    <r>
      <rPr>
        <sz val="10"/>
        <color rgb="FF1F3A5F"/>
        <rFont val="Linux Libertine G"/>
        <family val="2"/>
      </rPr>
      <t xml:space="preserve">帳簿数量</t>
    </r>
    <r>
      <rPr>
        <sz val="10"/>
        <color rgb="FF1F3A5F"/>
        <rFont val="游ゴシック"/>
        <family val="0"/>
        <charset val="1"/>
      </rPr>
      <t xml:space="preserve">100</t>
    </r>
    <r>
      <rPr>
        <sz val="10"/>
        <color rgb="FF1F3A5F"/>
        <rFont val="Linux Libertine G"/>
        <family val="2"/>
      </rPr>
      <t xml:space="preserve">個・実地数量</t>
    </r>
    <r>
      <rPr>
        <sz val="10"/>
        <color rgb="FF1F3A5F"/>
        <rFont val="游ゴシック"/>
        <family val="0"/>
        <charset val="1"/>
      </rPr>
      <t xml:space="preserve">95</t>
    </r>
    <r>
      <rPr>
        <sz val="10"/>
        <color rgb="FF1F3A5F"/>
        <rFont val="Linux Libertine G"/>
        <family val="2"/>
      </rPr>
      <t xml:space="preserve">個・原価</t>
    </r>
    <r>
      <rPr>
        <sz val="10"/>
        <color rgb="FF1F3A5F"/>
        <rFont val="游ゴシック"/>
        <family val="0"/>
        <charset val="1"/>
      </rPr>
      <t xml:space="preserve">@10
  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棚卸減耗損 </t>
    </r>
    <r>
      <rPr>
        <sz val="10"/>
        <color rgb="FF1F3A5F"/>
        <rFont val="游ゴシック"/>
        <family val="0"/>
        <charset val="1"/>
      </rPr>
      <t xml:space="preserve">50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繰越商品 </t>
    </r>
    <r>
      <rPr>
        <sz val="10"/>
        <color rgb="FF1F3A5F"/>
        <rFont val="游ゴシック"/>
        <family val="0"/>
        <charset val="1"/>
      </rPr>
      <t xml:space="preserve">50</t>
    </r>
  </si>
  <si>
    <t xml:space="preserve">6-5</t>
  </si>
  <si>
    <t xml:space="preserve">決算整理事項</t>
  </si>
  <si>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複数可</t>
    </r>
    <r>
      <rPr>
        <sz val="11"/>
        <color rgb="FF1F3A5F"/>
        <rFont val="游ゴシック"/>
        <family val="0"/>
        <charset val="1"/>
      </rPr>
      <t xml:space="preserve">)</t>
    </r>
    <r>
      <rPr>
        <sz val="11"/>
        <color rgb="FF1F3A5F"/>
        <rFont val="Linux Libertine G"/>
        <family val="2"/>
      </rPr>
      <t xml:space="preserve">売上原価の計算・減価償却・貸倒引当金・経過勘定・有価証券の評価・外貨建項目の換算・その他の引当金・法人税等・消費税の整理</t>
    </r>
  </si>
  <si>
    <t xml:space="preserve">毎回のチェックリストにする</t>
  </si>
  <si>
    <t xml:space="preserve">売上原価の計算・減価償却・貸倒引当金・経過勘定・法人税等・消費税の整理</t>
  </si>
  <si>
    <r>
      <rPr>
        <sz val="10"/>
        <color rgb="FF1F3A5F"/>
        <rFont val="Linux Libertine G"/>
        <family val="2"/>
      </rPr>
      <t xml:space="preserve">法人税等の計上</t>
    </r>
    <r>
      <rPr>
        <sz val="10"/>
        <color rgb="FF1F3A5F"/>
        <rFont val="游ゴシック"/>
        <family val="0"/>
        <charset val="1"/>
      </rPr>
      <t xml:space="preserve">:</t>
    </r>
    <r>
      <rPr>
        <sz val="10"/>
        <color rgb="FF1F3A5F"/>
        <rFont val="Linux Libertine G"/>
        <family val="2"/>
      </rPr>
      <t xml:space="preserve">年税額</t>
    </r>
    <r>
      <rPr>
        <sz val="10"/>
        <color rgb="FF1F3A5F"/>
        <rFont val="游ゴシック"/>
        <family val="0"/>
        <charset val="1"/>
      </rPr>
      <t xml:space="preserve">500,000</t>
    </r>
    <r>
      <rPr>
        <sz val="10"/>
        <color rgb="FF1F3A5F"/>
        <rFont val="Linux Libertine G"/>
        <family val="2"/>
      </rPr>
      <t xml:space="preserve">、中間納付</t>
    </r>
    <r>
      <rPr>
        <sz val="10"/>
        <color rgb="FF1F3A5F"/>
        <rFont val="游ゴシック"/>
        <family val="0"/>
        <charset val="1"/>
      </rPr>
      <t xml:space="preserve">200,000
  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法人税、住民税及び事業税 </t>
    </r>
    <r>
      <rPr>
        <sz val="10"/>
        <color rgb="FF1F3A5F"/>
        <rFont val="游ゴシック"/>
        <family val="0"/>
        <charset val="1"/>
      </rPr>
      <t xml:space="preserve">500,000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仮払法人税等 </t>
    </r>
    <r>
      <rPr>
        <sz val="10"/>
        <color rgb="FF1F3A5F"/>
        <rFont val="游ゴシック"/>
        <family val="0"/>
        <charset val="1"/>
      </rPr>
      <t xml:space="preserve">200,000
  　　　／　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未払法人税等 </t>
    </r>
    <r>
      <rPr>
        <sz val="10"/>
        <color rgb="FF1F3A5F"/>
        <rFont val="游ゴシック"/>
        <family val="0"/>
        <charset val="1"/>
      </rPr>
      <t xml:space="preserve">300,000</t>
    </r>
  </si>
  <si>
    <t xml:space="preserve">6-6</t>
  </si>
  <si>
    <t xml:space="preserve">精算表</t>
  </si>
  <si>
    <r>
      <rPr>
        <sz val="11"/>
        <color rgb="FF1F3A5F"/>
        <rFont val="游ゴシック"/>
        <family val="0"/>
        <charset val="1"/>
      </rPr>
      <t xml:space="preserve">8</t>
    </r>
    <r>
      <rPr>
        <sz val="11"/>
        <color rgb="FF1F3A5F"/>
        <rFont val="Linux Libertine G"/>
        <family val="2"/>
      </rPr>
      <t xml:space="preserve">桁精算表を作る </t>
    </r>
    <r>
      <rPr>
        <sz val="11"/>
        <color rgb="FF1F3A5F"/>
        <rFont val="游ゴシック"/>
        <family val="0"/>
        <charset val="1"/>
      </rPr>
      <t xml:space="preserve">/ 10</t>
    </r>
    <r>
      <rPr>
        <sz val="11"/>
        <color rgb="FF1F3A5F"/>
        <rFont val="Linux Libertine G"/>
        <family val="2"/>
      </rPr>
      <t xml:space="preserve">桁精算表を作る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作らない</t>
    </r>
  </si>
  <si>
    <r>
      <rPr>
        <sz val="11"/>
        <color rgb="FF1F3A5F"/>
        <rFont val="游ゴシック"/>
        <family val="0"/>
        <charset val="1"/>
      </rPr>
      <t xml:space="preserve">10</t>
    </r>
    <r>
      <rPr>
        <sz val="11"/>
        <color rgb="FF1F3A5F"/>
        <rFont val="Linux Libertine G"/>
        <family val="2"/>
      </rPr>
      <t xml:space="preserve">桁は</t>
    </r>
    <r>
      <rPr>
        <sz val="11"/>
        <color rgb="FF1F3A5F"/>
        <rFont val="游ゴシック"/>
        <family val="0"/>
        <charset val="1"/>
      </rPr>
      <t xml:space="preserve">8</t>
    </r>
    <r>
      <rPr>
        <sz val="11"/>
        <color rgb="FF1F3A5F"/>
        <rFont val="Linux Libertine G"/>
        <family val="2"/>
      </rPr>
      <t xml:space="preserve">桁に修正後試算表の欄を加えたもの</t>
    </r>
  </si>
  <si>
    <t xml:space="preserve">作らない</t>
  </si>
  <si>
    <t xml:space="preserve">6-7</t>
  </si>
  <si>
    <t xml:space="preserve">帳簿の締切方法</t>
  </si>
  <si>
    <r>
      <rPr>
        <sz val="11"/>
        <color rgb="FF1F3A5F"/>
        <rFont val="Linux Libertine G"/>
        <family val="2"/>
      </rPr>
      <t xml:space="preserve">英米式決算法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大陸式決算法</t>
    </r>
  </si>
  <si>
    <t xml:space="preserve">英米式は資産・負債・純資産を繰越記入で締め切る。大陸式は残高勘定に振り替える</t>
  </si>
  <si>
    <t xml:space="preserve">英米式決算法</t>
  </si>
  <si>
    <r>
      <rPr>
        <sz val="10"/>
        <color rgb="FF1F3A5F"/>
        <rFont val="Linux Libertine G"/>
        <family val="2"/>
      </rPr>
      <t xml:space="preserve">【英米式決算法】
資産・負債・純資産の勘定には仕訳をせず、元帳に「次期繰越」と直接書いて締め切る
収益・費用は損益勘定に振り替える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売上 </t>
    </r>
    <r>
      <rPr>
        <sz val="10"/>
        <color rgb="FF1F3A5F"/>
        <rFont val="游ゴシック"/>
        <family val="0"/>
        <charset val="1"/>
      </rPr>
      <t xml:space="preserve">1,500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損益 </t>
    </r>
    <r>
      <rPr>
        <sz val="10"/>
        <color rgb="FF1F3A5F"/>
        <rFont val="游ゴシック"/>
        <family val="0"/>
        <charset val="1"/>
      </rPr>
      <t xml:space="preserve">1,500
</t>
    </r>
    <r>
      <rPr>
        <sz val="10"/>
        <color rgb="FF1F3A5F"/>
        <rFont val="Linux Libertine G"/>
        <family val="2"/>
      </rPr>
      <t xml:space="preserve">【大陸式決算法】
資産・負債・純資産も、仕訳で残高勘定に振り替える
  (借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残高 </t>
    </r>
    <r>
      <rPr>
        <sz val="10"/>
        <color rgb="FF1F3A5F"/>
        <rFont val="游ゴシック"/>
        <family val="0"/>
        <charset val="1"/>
      </rPr>
      <t xml:space="preserve">50,000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現金 </t>
    </r>
    <r>
      <rPr>
        <sz val="10"/>
        <color rgb="FF1F3A5F"/>
        <rFont val="游ゴシック"/>
        <family val="0"/>
        <charset val="1"/>
      </rPr>
      <t xml:space="preserve">50,000
  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買掛金 </t>
    </r>
    <r>
      <rPr>
        <sz val="10"/>
        <color rgb="FF1F3A5F"/>
        <rFont val="游ゴシック"/>
        <family val="0"/>
        <charset val="1"/>
      </rPr>
      <t xml:space="preserve">20,000</t>
    </r>
    <r>
      <rPr>
        <sz val="10"/>
        <color rgb="FF1F3A5F"/>
        <rFont val="Linux Libertine G"/>
        <family val="2"/>
      </rPr>
      <t xml:space="preserve">　／　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残高 </t>
    </r>
    <r>
      <rPr>
        <sz val="10"/>
        <color rgb="FF1F3A5F"/>
        <rFont val="游ゴシック"/>
        <family val="0"/>
        <charset val="1"/>
      </rPr>
      <t xml:space="preserve">20,000</t>
    </r>
  </si>
  <si>
    <t xml:space="preserve">⑦ 財務諸表の表示ルール ― 作った数字をどう見せるか</t>
  </si>
  <si>
    <t xml:space="preserve">7-1</t>
  </si>
  <si>
    <t xml:space="preserve">財務諸表の表示ルール</t>
  </si>
  <si>
    <t xml:space="preserve">流動・固定の区分</t>
  </si>
  <si>
    <r>
      <rPr>
        <sz val="11"/>
        <color rgb="FF1F3A5F"/>
        <rFont val="Linux Libertine G"/>
        <family val="2"/>
      </rPr>
      <t xml:space="preserve">まず正常営業循環基準で判定し、それ以外は</t>
    </r>
    <r>
      <rPr>
        <sz val="11"/>
        <color rgb="FF1F3A5F"/>
        <rFont val="游ゴシック"/>
        <family val="0"/>
        <charset val="1"/>
      </rPr>
      <t xml:space="preserve">1</t>
    </r>
    <r>
      <rPr>
        <sz val="11"/>
        <color rgb="FF1F3A5F"/>
        <rFont val="Linux Libertine G"/>
        <family val="2"/>
      </rPr>
      <t xml:space="preserve">年基準で分ける</t>
    </r>
  </si>
  <si>
    <r>
      <rPr>
        <sz val="10"/>
        <color rgb="FF4A5D78"/>
        <rFont val="Linux Libertine G"/>
        <family val="2"/>
      </rPr>
      <t xml:space="preserve">正常営業循環基準 → </t>
    </r>
    <r>
      <rPr>
        <sz val="10"/>
        <color rgb="FF4A5D78"/>
        <rFont val="游ゴシック"/>
        <family val="0"/>
        <charset val="1"/>
      </rPr>
      <t xml:space="preserve">1</t>
    </r>
    <r>
      <rPr>
        <sz val="10"/>
        <color rgb="FF4A5D78"/>
        <rFont val="Linux Libertine G"/>
        <family val="2"/>
      </rPr>
      <t xml:space="preserve">年基準</t>
    </r>
  </si>
  <si>
    <t xml:space="preserve">7-2</t>
  </si>
  <si>
    <t xml:space="preserve">貸借対照表の配列</t>
  </si>
  <si>
    <r>
      <rPr>
        <sz val="11"/>
        <color rgb="FF1F3A5F"/>
        <rFont val="Linux Libertine G"/>
        <family val="2"/>
      </rPr>
      <t xml:space="preserve">流動性配列法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固定性配列法</t>
    </r>
  </si>
  <si>
    <t xml:space="preserve">一般の会社は流動性配列法。電力会社などは固定性配列法</t>
  </si>
  <si>
    <t xml:space="preserve">流動性配列法</t>
  </si>
  <si>
    <t xml:space="preserve">7-3</t>
  </si>
  <si>
    <t xml:space="preserve">財務諸表の様式</t>
  </si>
  <si>
    <r>
      <rPr>
        <sz val="11"/>
        <color rgb="FF1F3A5F"/>
        <rFont val="Linux Libertine G"/>
        <family val="2"/>
      </rPr>
      <t xml:space="preserve">報告式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勘定式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損益計算書は報告式・貸借対照表は勘定式</t>
    </r>
  </si>
  <si>
    <t xml:space="preserve">報告式は上から下へ並べる様式。勘定式は左右に並べる様式</t>
  </si>
  <si>
    <t xml:space="preserve">損益計算書は報告式・貸借対照表は勘定式</t>
  </si>
  <si>
    <t xml:space="preserve">7-4</t>
  </si>
  <si>
    <t xml:space="preserve">損益計算書の区分</t>
  </si>
  <si>
    <t xml:space="preserve">売上総利益 → 営業利益 → 経常利益 → 税引前当期純利益 → 当期純利益</t>
  </si>
  <si>
    <r>
      <rPr>
        <sz val="10"/>
        <color rgb="FF4A5D78"/>
        <rFont val="Linux Libertine G"/>
        <family val="2"/>
      </rPr>
      <t xml:space="preserve">区分損益計算</t>
    </r>
    <r>
      <rPr>
        <sz val="10"/>
        <color rgb="FF4A5D78"/>
        <rFont val="游ゴシック"/>
        <family val="0"/>
        <charset val="1"/>
      </rPr>
      <t xml:space="preserve">(5</t>
    </r>
    <r>
      <rPr>
        <sz val="10"/>
        <color rgb="FF4A5D78"/>
        <rFont val="Linux Libertine G"/>
        <family val="2"/>
      </rPr>
      <t xml:space="preserve">段階の利益</t>
    </r>
    <r>
      <rPr>
        <sz val="10"/>
        <color rgb="FF4A5D78"/>
        <rFont val="游ゴシック"/>
        <family val="0"/>
        <charset val="1"/>
      </rPr>
      <t xml:space="preserve">)</t>
    </r>
  </si>
  <si>
    <t xml:space="preserve">7-5</t>
  </si>
  <si>
    <t xml:space="preserve">キャッシュ・フロー計算書</t>
  </si>
  <si>
    <r>
      <rPr>
        <sz val="11"/>
        <color rgb="FF1F3A5F"/>
        <rFont val="Linux Libertine G"/>
        <family val="2"/>
      </rPr>
      <t xml:space="preserve">作らない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作る</t>
    </r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営業</t>
    </r>
    <r>
      <rPr>
        <sz val="11"/>
        <color rgb="FF1F3A5F"/>
        <rFont val="游ゴシック"/>
        <family val="0"/>
        <charset val="1"/>
      </rPr>
      <t xml:space="preserve">CF</t>
    </r>
    <r>
      <rPr>
        <sz val="11"/>
        <color rgb="FF1F3A5F"/>
        <rFont val="Linux Libertine G"/>
        <family val="2"/>
      </rPr>
      <t xml:space="preserve">は間接法</t>
    </r>
    <r>
      <rPr>
        <sz val="11"/>
        <color rgb="FF1F3A5F"/>
        <rFont val="游ゴシック"/>
        <family val="0"/>
        <charset val="1"/>
      </rPr>
      <t xml:space="preserve">) / </t>
    </r>
    <r>
      <rPr>
        <sz val="11"/>
        <color rgb="FF1F3A5F"/>
        <rFont val="Linux Libertine G"/>
        <family val="2"/>
      </rPr>
      <t xml:space="preserve">作る</t>
    </r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営業</t>
    </r>
    <r>
      <rPr>
        <sz val="11"/>
        <color rgb="FF1F3A5F"/>
        <rFont val="游ゴシック"/>
        <family val="0"/>
        <charset val="1"/>
      </rPr>
      <t xml:space="preserve">CF</t>
    </r>
    <r>
      <rPr>
        <sz val="11"/>
        <color rgb="FF1F3A5F"/>
        <rFont val="Linux Libertine G"/>
        <family val="2"/>
      </rPr>
      <t xml:space="preserve">は直接法</t>
    </r>
    <r>
      <rPr>
        <sz val="11"/>
        <color rgb="FF1F3A5F"/>
        <rFont val="游ゴシック"/>
        <family val="0"/>
        <charset val="1"/>
      </rPr>
      <t xml:space="preserve">)</t>
    </r>
  </si>
  <si>
    <t xml:space="preserve">上場会社などは作成が必要。間接法は税引前当期純利益から調整する</t>
  </si>
  <si>
    <t xml:space="preserve">7-6</t>
  </si>
  <si>
    <t xml:space="preserve">株主資本等変動計算書・注記</t>
  </si>
  <si>
    <t xml:space="preserve">会社計算規則・財務諸表等規則のどちらに従うか</t>
  </si>
  <si>
    <t xml:space="preserve">会社計算規則に従って作成</t>
  </si>
  <si>
    <t xml:space="preserve">7-7</t>
  </si>
  <si>
    <t xml:space="preserve">金額の表示単位</t>
  </si>
  <si>
    <r>
      <rPr>
        <sz val="11"/>
        <color rgb="FF1F3A5F"/>
        <rFont val="Linux Libertine G"/>
        <family val="2"/>
      </rPr>
      <t xml:space="preserve">円単位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千円単位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百万円単位</t>
    </r>
  </si>
  <si>
    <r>
      <rPr>
        <sz val="11"/>
        <color rgb="FF1F3A5F"/>
        <rFont val="Linux Libertine G"/>
        <family val="2"/>
      </rPr>
      <t xml:space="preserve">単位未満の端数の処理</t>
    </r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切り捨てなど</t>
    </r>
    <r>
      <rPr>
        <sz val="11"/>
        <color rgb="FF1F3A5F"/>
        <rFont val="游ゴシック"/>
        <family val="0"/>
        <charset val="1"/>
      </rPr>
      <t xml:space="preserve">)</t>
    </r>
    <r>
      <rPr>
        <sz val="11"/>
        <color rgb="FF1F3A5F"/>
        <rFont val="Linux Libertine G"/>
        <family val="2"/>
      </rPr>
      <t xml:space="preserve">も決める</t>
    </r>
  </si>
  <si>
    <t xml:space="preserve">千円単位</t>
  </si>
  <si>
    <t xml:space="preserve">⑧ 統制・保存・税務 ― 間違い・不正を防ぎ、記録を守る</t>
  </si>
  <si>
    <t xml:space="preserve">8-1</t>
  </si>
  <si>
    <t xml:space="preserve">統制・保存・税務</t>
  </si>
  <si>
    <t xml:space="preserve">職務分掌</t>
  </si>
  <si>
    <t xml:space="preserve">起票・承認・支払を同じ人にさせない</t>
  </si>
  <si>
    <r>
      <rPr>
        <sz val="10"/>
        <color rgb="FF4A5D78"/>
        <rFont val="Linux Libertine G"/>
        <family val="2"/>
      </rPr>
      <t xml:space="preserve">起票</t>
    </r>
    <r>
      <rPr>
        <sz val="10"/>
        <color rgb="FF4A5D78"/>
        <rFont val="游ゴシック"/>
        <family val="0"/>
        <charset val="1"/>
      </rPr>
      <t xml:space="preserve">:</t>
    </r>
    <r>
      <rPr>
        <sz val="10"/>
        <color rgb="FF4A5D78"/>
        <rFont val="Linux Libertine G"/>
        <family val="2"/>
      </rPr>
      <t xml:space="preserve">担当者</t>
    </r>
    <r>
      <rPr>
        <sz val="10"/>
        <color rgb="FF4A5D78"/>
        <rFont val="游ゴシック"/>
        <family val="0"/>
        <charset val="1"/>
      </rPr>
      <t xml:space="preserve">/</t>
    </r>
    <r>
      <rPr>
        <sz val="10"/>
        <color rgb="FF4A5D78"/>
        <rFont val="Linux Libertine G"/>
        <family val="2"/>
      </rPr>
      <t xml:space="preserve">承認</t>
    </r>
    <r>
      <rPr>
        <sz val="10"/>
        <color rgb="FF4A5D78"/>
        <rFont val="游ゴシック"/>
        <family val="0"/>
        <charset val="1"/>
      </rPr>
      <t xml:space="preserve">:</t>
    </r>
    <r>
      <rPr>
        <sz val="10"/>
        <color rgb="FF4A5D78"/>
        <rFont val="Linux Libertine G"/>
        <family val="2"/>
      </rPr>
      <t xml:space="preserve">経理課長</t>
    </r>
    <r>
      <rPr>
        <sz val="10"/>
        <color rgb="FF4A5D78"/>
        <rFont val="游ゴシック"/>
        <family val="0"/>
        <charset val="1"/>
      </rPr>
      <t xml:space="preserve">/</t>
    </r>
    <r>
      <rPr>
        <sz val="10"/>
        <color rgb="FF4A5D78"/>
        <rFont val="Linux Libertine G"/>
        <family val="2"/>
      </rPr>
      <t xml:space="preserve">支払</t>
    </r>
    <r>
      <rPr>
        <sz val="10"/>
        <color rgb="FF4A5D78"/>
        <rFont val="游ゴシック"/>
        <family val="0"/>
        <charset val="1"/>
      </rPr>
      <t xml:space="preserve">:</t>
    </r>
    <r>
      <rPr>
        <sz val="10"/>
        <color rgb="FF4A5D78"/>
        <rFont val="Linux Libertine G"/>
        <family val="2"/>
      </rPr>
      <t xml:space="preserve">財務担当</t>
    </r>
  </si>
  <si>
    <t xml:space="preserve">8-2</t>
  </si>
  <si>
    <t xml:space="preserve">帳簿書類の保存期間</t>
  </si>
  <si>
    <r>
      <rPr>
        <sz val="11"/>
        <color rgb="FF1F3A5F"/>
        <rFont val="Linux Libertine G"/>
        <family val="2"/>
      </rPr>
      <t xml:space="preserve">会社法では会計帳簿は</t>
    </r>
    <r>
      <rPr>
        <sz val="11"/>
        <color rgb="FF1F3A5F"/>
        <rFont val="游ゴシック"/>
        <family val="0"/>
        <charset val="1"/>
      </rPr>
      <t xml:space="preserve">10</t>
    </r>
    <r>
      <rPr>
        <sz val="11"/>
        <color rgb="FF1F3A5F"/>
        <rFont val="Linux Libertine G"/>
        <family val="2"/>
      </rPr>
      <t xml:space="preserve">年。法人税法では原則</t>
    </r>
    <r>
      <rPr>
        <sz val="11"/>
        <color rgb="FF1F3A5F"/>
        <rFont val="游ゴシック"/>
        <family val="0"/>
        <charset val="1"/>
      </rPr>
      <t xml:space="preserve">7</t>
    </r>
    <r>
      <rPr>
        <sz val="11"/>
        <color rgb="FF1F3A5F"/>
        <rFont val="Linux Libertine G"/>
        <family val="2"/>
      </rPr>
      <t xml:space="preserve">年</t>
    </r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欠損金が出た事業年度は</t>
    </r>
    <r>
      <rPr>
        <sz val="11"/>
        <color rgb="FF1F3A5F"/>
        <rFont val="游ゴシック"/>
        <family val="0"/>
        <charset val="1"/>
      </rPr>
      <t xml:space="preserve">10</t>
    </r>
    <r>
      <rPr>
        <sz val="11"/>
        <color rgb="FF1F3A5F"/>
        <rFont val="Linux Libertine G"/>
        <family val="2"/>
      </rPr>
      <t xml:space="preserve">年</t>
    </r>
    <r>
      <rPr>
        <sz val="11"/>
        <color rgb="FF1F3A5F"/>
        <rFont val="游ゴシック"/>
        <family val="0"/>
        <charset val="1"/>
      </rPr>
      <t xml:space="preserve">)</t>
    </r>
  </si>
  <si>
    <r>
      <rPr>
        <sz val="10"/>
        <color rgb="FF4A5D78"/>
        <rFont val="Linux Libertine G"/>
        <family val="2"/>
      </rPr>
      <t xml:space="preserve">帳簿は</t>
    </r>
    <r>
      <rPr>
        <sz val="10"/>
        <color rgb="FF4A5D78"/>
        <rFont val="游ゴシック"/>
        <family val="0"/>
        <charset val="1"/>
      </rPr>
      <t xml:space="preserve">10</t>
    </r>
    <r>
      <rPr>
        <sz val="10"/>
        <color rgb="FF4A5D78"/>
        <rFont val="Linux Libertine G"/>
        <family val="2"/>
      </rPr>
      <t xml:space="preserve">年、その他の税務書類は</t>
    </r>
    <r>
      <rPr>
        <sz val="10"/>
        <color rgb="FF4A5D78"/>
        <rFont val="游ゴシック"/>
        <family val="0"/>
        <charset val="1"/>
      </rPr>
      <t xml:space="preserve">7</t>
    </r>
    <r>
      <rPr>
        <sz val="10"/>
        <color rgb="FF4A5D78"/>
        <rFont val="Linux Libertine G"/>
        <family val="2"/>
      </rPr>
      <t xml:space="preserve">年以上</t>
    </r>
  </si>
  <si>
    <t xml:space="preserve">8-3</t>
  </si>
  <si>
    <t xml:space="preserve">電子取引データの保存</t>
  </si>
  <si>
    <r>
      <rPr>
        <sz val="11"/>
        <color rgb="FF1F3A5F"/>
        <rFont val="Linux Libertine G"/>
        <family val="2"/>
      </rPr>
      <t xml:space="preserve">会計ソフト・クラウドに保存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社内サーバーに検索できる形で保存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事務処理規程を作って保存</t>
    </r>
  </si>
  <si>
    <r>
      <rPr>
        <sz val="11"/>
        <color rgb="FF1F3A5F"/>
        <rFont val="Linux Libertine G"/>
        <family val="2"/>
      </rPr>
      <t xml:space="preserve">電子帳簿保存法により、メールや</t>
    </r>
    <r>
      <rPr>
        <sz val="11"/>
        <color rgb="FF1F3A5F"/>
        <rFont val="游ゴシック"/>
        <family val="0"/>
        <charset val="1"/>
      </rPr>
      <t xml:space="preserve">PDF</t>
    </r>
    <r>
      <rPr>
        <sz val="11"/>
        <color rgb="FF1F3A5F"/>
        <rFont val="Linux Libertine G"/>
        <family val="2"/>
      </rPr>
      <t xml:space="preserve">で受け取った請求書は電子のまま保存する</t>
    </r>
  </si>
  <si>
    <t xml:space="preserve">会計ソフト・クラウドに保存</t>
  </si>
  <si>
    <t xml:space="preserve">8-4</t>
  </si>
  <si>
    <t xml:space="preserve">紙の書類のスキャナ保存</t>
  </si>
  <si>
    <r>
      <rPr>
        <sz val="11"/>
        <color rgb="FF1F3A5F"/>
        <rFont val="Linux Libertine G"/>
        <family val="2"/>
      </rPr>
      <t xml:space="preserve">使う </t>
    </r>
    <r>
      <rPr>
        <sz val="11"/>
        <color rgb="FF1F3A5F"/>
        <rFont val="游ゴシック"/>
        <family val="0"/>
        <charset val="1"/>
      </rPr>
      <t xml:space="preserve">/ </t>
    </r>
    <r>
      <rPr>
        <sz val="11"/>
        <color rgb="FF1F3A5F"/>
        <rFont val="Linux Libertine G"/>
        <family val="2"/>
      </rPr>
      <t xml:space="preserve">使わない</t>
    </r>
  </si>
  <si>
    <t xml:space="preserve">使う場合は、読み取りの期限や解像度などの要件を満たす</t>
  </si>
  <si>
    <t xml:space="preserve">使わない</t>
  </si>
  <si>
    <t xml:space="preserve">8-5</t>
  </si>
  <si>
    <t xml:space="preserve">申告調整の管理</t>
  </si>
  <si>
    <r>
      <rPr>
        <sz val="11"/>
        <color rgb="FF1F3A5F"/>
        <rFont val="Linux Libertine G"/>
        <family val="2"/>
      </rPr>
      <t xml:space="preserve">会計上の利益と課税所得の差</t>
    </r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加算・減算</t>
    </r>
    <r>
      <rPr>
        <sz val="11"/>
        <color rgb="FF1F3A5F"/>
        <rFont val="游ゴシック"/>
        <family val="0"/>
        <charset val="1"/>
      </rPr>
      <t xml:space="preserve">)</t>
    </r>
    <r>
      <rPr>
        <sz val="11"/>
        <color rgb="FF1F3A5F"/>
        <rFont val="Linux Libertine G"/>
        <family val="2"/>
      </rPr>
      <t xml:space="preserve">を一覧で管理する</t>
    </r>
  </si>
  <si>
    <t xml:space="preserve">加算・減算項目を別表四の項目ごとに一覧管理</t>
  </si>
  <si>
    <t xml:space="preserve">8-6</t>
  </si>
  <si>
    <t xml:space="preserve">決算の承認</t>
  </si>
  <si>
    <t xml:space="preserve">誰の承認で財務諸表を確定させるか</t>
  </si>
  <si>
    <r>
      <rPr>
        <sz val="10"/>
        <color rgb="FF4A5D78"/>
        <rFont val="Linux Libertine G"/>
        <family val="2"/>
      </rPr>
      <t xml:space="preserve">取締役会で承認 → 定時株主総会で承認</t>
    </r>
    <r>
      <rPr>
        <sz val="10"/>
        <color rgb="FF4A5D78"/>
        <rFont val="游ゴシック"/>
        <family val="0"/>
        <charset val="1"/>
      </rPr>
      <t xml:space="preserve">(</t>
    </r>
    <r>
      <rPr>
        <sz val="10"/>
        <color rgb="FF4A5D78"/>
        <rFont val="Linux Libertine G"/>
        <family val="2"/>
      </rPr>
      <t xml:space="preserve">または報告</t>
    </r>
    <r>
      <rPr>
        <sz val="10"/>
        <color rgb="FF4A5D78"/>
        <rFont val="游ゴシック"/>
        <family val="0"/>
        <charset val="1"/>
      </rPr>
      <t xml:space="preserve">)</t>
    </r>
  </si>
  <si>
    <r>
      <rPr>
        <b val="true"/>
        <sz val="16"/>
        <color rgb="FF1F3A5F"/>
        <rFont val="Linux Libertine G"/>
        <family val="2"/>
      </rPr>
      <t xml:space="preserve">勘定科目表</t>
    </r>
    <r>
      <rPr>
        <b val="true"/>
        <sz val="16"/>
        <color rgb="FF1F3A5F"/>
        <rFont val="游ゴシック"/>
        <family val="0"/>
        <charset val="1"/>
      </rPr>
      <t xml:space="preserve">(</t>
    </r>
    <r>
      <rPr>
        <b val="true"/>
        <sz val="16"/>
        <color rgb="FF1F3A5F"/>
        <rFont val="Linux Libertine G"/>
        <family val="2"/>
      </rPr>
      <t xml:space="preserve">ひな形</t>
    </r>
    <r>
      <rPr>
        <b val="true"/>
        <sz val="16"/>
        <color rgb="FF1F3A5F"/>
        <rFont val="游ゴシック"/>
        <family val="0"/>
        <charset val="1"/>
      </rPr>
      <t xml:space="preserve">)</t>
    </r>
  </si>
  <si>
    <r>
      <rPr>
        <sz val="10"/>
        <color rgb="FF4A5D78"/>
        <rFont val="Linux Libertine G"/>
        <family val="2"/>
      </rPr>
      <t xml:space="preserve">黄色の「使う」を ○</t>
    </r>
    <r>
      <rPr>
        <sz val="10"/>
        <color rgb="FF4A5D78"/>
        <rFont val="游ゴシック"/>
        <family val="0"/>
        <charset val="1"/>
      </rPr>
      <t xml:space="preserve">/× </t>
    </r>
    <r>
      <rPr>
        <sz val="10"/>
        <color rgb="FF4A5D78"/>
        <rFont val="Linux Libertine G"/>
        <family val="2"/>
      </rPr>
      <t xml:space="preserve">で選ぶ。自社で使う科目は空いている行に追加する。コードは「</t>
    </r>
    <r>
      <rPr>
        <sz val="10"/>
        <color rgb="FF4A5D78"/>
        <rFont val="游ゴシック"/>
        <family val="0"/>
        <charset val="1"/>
      </rPr>
      <t xml:space="preserve">1xxx</t>
    </r>
    <r>
      <rPr>
        <sz val="10"/>
        <color rgb="FF4A5D78"/>
        <rFont val="Linux Libertine G"/>
        <family val="2"/>
      </rPr>
      <t xml:space="preserve">資産・</t>
    </r>
    <r>
      <rPr>
        <sz val="10"/>
        <color rgb="FF4A5D78"/>
        <rFont val="游ゴシック"/>
        <family val="0"/>
        <charset val="1"/>
      </rPr>
      <t xml:space="preserve">2xxx</t>
    </r>
    <r>
      <rPr>
        <sz val="10"/>
        <color rgb="FF4A5D78"/>
        <rFont val="Linux Libertine G"/>
        <family val="2"/>
      </rPr>
      <t xml:space="preserve">負債・</t>
    </r>
    <r>
      <rPr>
        <sz val="10"/>
        <color rgb="FF4A5D78"/>
        <rFont val="游ゴシック"/>
        <family val="0"/>
        <charset val="1"/>
      </rPr>
      <t xml:space="preserve">3xxx</t>
    </r>
    <r>
      <rPr>
        <sz val="10"/>
        <color rgb="FF4A5D78"/>
        <rFont val="Linux Libertine G"/>
        <family val="2"/>
      </rPr>
      <t xml:space="preserve">純資産・</t>
    </r>
    <r>
      <rPr>
        <sz val="10"/>
        <color rgb="FF4A5D78"/>
        <rFont val="游ゴシック"/>
        <family val="0"/>
        <charset val="1"/>
      </rPr>
      <t xml:space="preserve">4xxx</t>
    </r>
    <r>
      <rPr>
        <sz val="10"/>
        <color rgb="FF4A5D78"/>
        <rFont val="Linux Libertine G"/>
        <family val="2"/>
      </rPr>
      <t xml:space="preserve">収益・</t>
    </r>
    <r>
      <rPr>
        <sz val="10"/>
        <color rgb="FF4A5D78"/>
        <rFont val="游ゴシック"/>
        <family val="0"/>
        <charset val="1"/>
      </rPr>
      <t xml:space="preserve">5xxx</t>
    </r>
    <r>
      <rPr>
        <sz val="10"/>
        <color rgb="FF4A5D78"/>
        <rFont val="Linux Libertine G"/>
        <family val="2"/>
      </rPr>
      <t xml:space="preserve">以降費用」の例</t>
    </r>
  </si>
  <si>
    <t xml:space="preserve">コード</t>
  </si>
  <si>
    <t xml:space="preserve">勘定科目</t>
  </si>
  <si>
    <r>
      <rPr>
        <b val="true"/>
        <sz val="11"/>
        <color rgb="FFFFFFFF"/>
        <rFont val="游ゴシック"/>
        <family val="0"/>
        <charset val="1"/>
      </rPr>
      <t xml:space="preserve">5</t>
    </r>
    <r>
      <rPr>
        <b val="true"/>
        <sz val="11"/>
        <color rgb="FFFFFFFF"/>
        <rFont val="Linux Libertine G"/>
        <family val="2"/>
      </rPr>
      <t xml:space="preserve">要素</t>
    </r>
  </si>
  <si>
    <t xml:space="preserve">表示区分</t>
  </si>
  <si>
    <t xml:space="preserve">財務諸表の表示科目</t>
  </si>
  <si>
    <r>
      <rPr>
        <b val="true"/>
        <sz val="11"/>
        <color rgb="FFFFFFFF"/>
        <rFont val="Linux Libertine G"/>
        <family val="2"/>
      </rPr>
      <t xml:space="preserve">補助科目</t>
    </r>
    <r>
      <rPr>
        <b val="true"/>
        <sz val="11"/>
        <color rgb="FFFFFFFF"/>
        <rFont val="游ゴシック"/>
        <family val="0"/>
        <charset val="1"/>
      </rPr>
      <t xml:space="preserve">(</t>
    </r>
    <r>
      <rPr>
        <b val="true"/>
        <sz val="11"/>
        <color rgb="FFFFFFFF"/>
        <rFont val="Linux Libertine G"/>
        <family val="2"/>
      </rPr>
      <t xml:space="preserve">例</t>
    </r>
    <r>
      <rPr>
        <b val="true"/>
        <sz val="11"/>
        <color rgb="FFFFFFFF"/>
        <rFont val="游ゴシック"/>
        <family val="0"/>
        <charset val="1"/>
      </rPr>
      <t xml:space="preserve">)</t>
    </r>
  </si>
  <si>
    <t xml:space="preserve">使う</t>
  </si>
  <si>
    <t xml:space="preserve">メモ</t>
  </si>
  <si>
    <t xml:space="preserve">1110</t>
  </si>
  <si>
    <t xml:space="preserve">現金</t>
  </si>
  <si>
    <t xml:space="preserve">資産</t>
  </si>
  <si>
    <t xml:space="preserve">流動資産</t>
  </si>
  <si>
    <t xml:space="preserve">現金及び預金</t>
  </si>
  <si>
    <t xml:space="preserve">○</t>
  </si>
  <si>
    <t xml:space="preserve">1120</t>
  </si>
  <si>
    <t xml:space="preserve">1130</t>
  </si>
  <si>
    <t xml:space="preserve">当座預金</t>
  </si>
  <si>
    <t xml:space="preserve">口座ごと</t>
  </si>
  <si>
    <t xml:space="preserve">1140</t>
  </si>
  <si>
    <t xml:space="preserve">普通預金</t>
  </si>
  <si>
    <t xml:space="preserve">1210</t>
  </si>
  <si>
    <t xml:space="preserve">受取手形</t>
  </si>
  <si>
    <t xml:space="preserve">取引先ごと</t>
  </si>
  <si>
    <t xml:space="preserve">1220</t>
  </si>
  <si>
    <t xml:space="preserve">電子記録債権</t>
  </si>
  <si>
    <t xml:space="preserve">1230</t>
  </si>
  <si>
    <t xml:space="preserve">売掛金</t>
  </si>
  <si>
    <t xml:space="preserve">1240</t>
  </si>
  <si>
    <t xml:space="preserve">クレジット売掛金</t>
  </si>
  <si>
    <t xml:space="preserve">カード会社ごと</t>
  </si>
  <si>
    <t xml:space="preserve">1250</t>
  </si>
  <si>
    <t xml:space="preserve">貸倒引当金</t>
  </si>
  <si>
    <r>
      <rPr>
        <sz val="11"/>
        <color rgb="FF1F3A5F"/>
        <rFont val="Linux Libertine G"/>
        <family val="2"/>
      </rPr>
      <t xml:space="preserve">資産</t>
    </r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評価勘定</t>
    </r>
    <r>
      <rPr>
        <sz val="11"/>
        <color rgb="FF1F3A5F"/>
        <rFont val="游ゴシック"/>
        <family val="0"/>
        <charset val="1"/>
      </rPr>
      <t xml:space="preserve">)</t>
    </r>
  </si>
  <si>
    <r>
      <rPr>
        <sz val="11"/>
        <color rgb="FF1F3A5F"/>
        <rFont val="Linux Libertine G"/>
        <family val="2"/>
      </rPr>
      <t xml:space="preserve">貸倒引当金</t>
    </r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控除</t>
    </r>
    <r>
      <rPr>
        <sz val="11"/>
        <color rgb="FF1F3A5F"/>
        <rFont val="游ゴシック"/>
        <family val="0"/>
        <charset val="1"/>
      </rPr>
      <t xml:space="preserve">)</t>
    </r>
  </si>
  <si>
    <t xml:space="preserve">1310</t>
  </si>
  <si>
    <t xml:space="preserve">有価証券</t>
  </si>
  <si>
    <t xml:space="preserve">銘柄ごと</t>
  </si>
  <si>
    <t xml:space="preserve">1410</t>
  </si>
  <si>
    <r>
      <rPr>
        <sz val="11"/>
        <color rgb="FF1F3A5F"/>
        <rFont val="Linux Libertine G"/>
        <family val="2"/>
      </rPr>
      <t xml:space="preserve">商品</t>
    </r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繰越商品</t>
    </r>
    <r>
      <rPr>
        <sz val="11"/>
        <color rgb="FF1F3A5F"/>
        <rFont val="游ゴシック"/>
        <family val="0"/>
        <charset val="1"/>
      </rPr>
      <t xml:space="preserve">)</t>
    </r>
  </si>
  <si>
    <t xml:space="preserve">商品</t>
  </si>
  <si>
    <t xml:space="preserve">1510</t>
  </si>
  <si>
    <t xml:space="preserve">前払費用</t>
  </si>
  <si>
    <t xml:space="preserve">1520</t>
  </si>
  <si>
    <t xml:space="preserve">未収収益</t>
  </si>
  <si>
    <t xml:space="preserve">1530</t>
  </si>
  <si>
    <t xml:space="preserve">仮払金</t>
  </si>
  <si>
    <t xml:space="preserve">その他</t>
  </si>
  <si>
    <t xml:space="preserve">1540</t>
  </si>
  <si>
    <t xml:space="preserve">仮払消費税</t>
  </si>
  <si>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決算で相殺</t>
    </r>
    <r>
      <rPr>
        <sz val="11"/>
        <color rgb="FF1F3A5F"/>
        <rFont val="游ゴシック"/>
        <family val="0"/>
        <charset val="1"/>
      </rPr>
      <t xml:space="preserve">)</t>
    </r>
  </si>
  <si>
    <t xml:space="preserve">1550</t>
  </si>
  <si>
    <t xml:space="preserve">仮払法人税等</t>
  </si>
  <si>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決算で精算</t>
    </r>
    <r>
      <rPr>
        <sz val="11"/>
        <color rgb="FF1F3A5F"/>
        <rFont val="游ゴシック"/>
        <family val="0"/>
        <charset val="1"/>
      </rPr>
      <t xml:space="preserve">)</t>
    </r>
  </si>
  <si>
    <t xml:space="preserve">1610</t>
  </si>
  <si>
    <t xml:space="preserve">建物</t>
  </si>
  <si>
    <t xml:space="preserve">有形固定資産</t>
  </si>
  <si>
    <t xml:space="preserve">1611</t>
  </si>
  <si>
    <t xml:space="preserve">建物減価償却累計額</t>
  </si>
  <si>
    <r>
      <rPr>
        <sz val="11"/>
        <color rgb="FF1F3A5F"/>
        <rFont val="Linux Libertine G"/>
        <family val="2"/>
      </rPr>
      <t xml:space="preserve">減価償却累計額</t>
    </r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控除</t>
    </r>
    <r>
      <rPr>
        <sz val="11"/>
        <color rgb="FF1F3A5F"/>
        <rFont val="游ゴシック"/>
        <family val="0"/>
        <charset val="1"/>
      </rPr>
      <t xml:space="preserve">)</t>
    </r>
  </si>
  <si>
    <t xml:space="preserve">1620</t>
  </si>
  <si>
    <t xml:space="preserve">備品</t>
  </si>
  <si>
    <t xml:space="preserve">工具、器具及び備品</t>
  </si>
  <si>
    <t xml:space="preserve">1621</t>
  </si>
  <si>
    <t xml:space="preserve">備品減価償却累計額</t>
  </si>
  <si>
    <t xml:space="preserve">1630</t>
  </si>
  <si>
    <t xml:space="preserve">車両運搬具</t>
  </si>
  <si>
    <t xml:space="preserve">1640</t>
  </si>
  <si>
    <t xml:space="preserve">土地</t>
  </si>
  <si>
    <t xml:space="preserve">1710</t>
  </si>
  <si>
    <t xml:space="preserve">ソフトウェア</t>
  </si>
  <si>
    <t xml:space="preserve">無形固定資産</t>
  </si>
  <si>
    <t xml:space="preserve">1810</t>
  </si>
  <si>
    <t xml:space="preserve">投資有価証券</t>
  </si>
  <si>
    <t xml:space="preserve">投資その他の資産</t>
  </si>
  <si>
    <t xml:space="preserve">1820</t>
  </si>
  <si>
    <t xml:space="preserve">繰延税金資産</t>
  </si>
  <si>
    <t xml:space="preserve">2110</t>
  </si>
  <si>
    <t xml:space="preserve">支払手形</t>
  </si>
  <si>
    <t xml:space="preserve">負債</t>
  </si>
  <si>
    <t xml:space="preserve">流動負債</t>
  </si>
  <si>
    <t xml:space="preserve">2120</t>
  </si>
  <si>
    <t xml:space="preserve">電子記録債務</t>
  </si>
  <si>
    <t xml:space="preserve">2130</t>
  </si>
  <si>
    <t xml:space="preserve">買掛金</t>
  </si>
  <si>
    <t xml:space="preserve">2140</t>
  </si>
  <si>
    <t xml:space="preserve">短期借入金</t>
  </si>
  <si>
    <t xml:space="preserve">借入先ごと</t>
  </si>
  <si>
    <t xml:space="preserve">2150</t>
  </si>
  <si>
    <t xml:space="preserve">未払金</t>
  </si>
  <si>
    <t xml:space="preserve">2160</t>
  </si>
  <si>
    <t xml:space="preserve">未払費用</t>
  </si>
  <si>
    <t xml:space="preserve">2170</t>
  </si>
  <si>
    <t xml:space="preserve">未払法人税等</t>
  </si>
  <si>
    <t xml:space="preserve">2180</t>
  </si>
  <si>
    <t xml:space="preserve">未払消費税</t>
  </si>
  <si>
    <t xml:space="preserve">未払消費税等</t>
  </si>
  <si>
    <t xml:space="preserve">2190</t>
  </si>
  <si>
    <t xml:space="preserve">仮受消費税</t>
  </si>
  <si>
    <t xml:space="preserve">2210</t>
  </si>
  <si>
    <t xml:space="preserve">前受金</t>
  </si>
  <si>
    <t xml:space="preserve">2220</t>
  </si>
  <si>
    <t xml:space="preserve">預り金</t>
  </si>
  <si>
    <t xml:space="preserve">所得税・住民税・社会保険料</t>
  </si>
  <si>
    <t xml:space="preserve">2230</t>
  </si>
  <si>
    <t xml:space="preserve">2310</t>
  </si>
  <si>
    <t xml:space="preserve">長期借入金</t>
  </si>
  <si>
    <t xml:space="preserve">固定負債</t>
  </si>
  <si>
    <t xml:space="preserve">2320</t>
  </si>
  <si>
    <t xml:space="preserve">退職給付引当金</t>
  </si>
  <si>
    <t xml:space="preserve">3110</t>
  </si>
  <si>
    <t xml:space="preserve">資本金</t>
  </si>
  <si>
    <t xml:space="preserve">純資産</t>
  </si>
  <si>
    <t xml:space="preserve">株主資本</t>
  </si>
  <si>
    <t xml:space="preserve">3210</t>
  </si>
  <si>
    <t xml:space="preserve">資本準備金</t>
  </si>
  <si>
    <t xml:space="preserve">3310</t>
  </si>
  <si>
    <t xml:space="preserve">利益準備金</t>
  </si>
  <si>
    <t xml:space="preserve">3320</t>
  </si>
  <si>
    <t xml:space="preserve">繰越利益剰余金</t>
  </si>
  <si>
    <t xml:space="preserve">3410</t>
  </si>
  <si>
    <t xml:space="preserve">その他有価証券評価差額金</t>
  </si>
  <si>
    <t xml:space="preserve">評価・換算差額等</t>
  </si>
  <si>
    <t xml:space="preserve">4110</t>
  </si>
  <si>
    <t xml:space="preserve">売上</t>
  </si>
  <si>
    <t xml:space="preserve">収益</t>
  </si>
  <si>
    <t xml:space="preserve">売上高</t>
  </si>
  <si>
    <t xml:space="preserve">部門ごと</t>
  </si>
  <si>
    <t xml:space="preserve">4210</t>
  </si>
  <si>
    <t xml:space="preserve">受取利息</t>
  </si>
  <si>
    <t xml:space="preserve">営業外収益</t>
  </si>
  <si>
    <t xml:space="preserve">4220</t>
  </si>
  <si>
    <t xml:space="preserve">受取配当金</t>
  </si>
  <si>
    <t xml:space="preserve">4230</t>
  </si>
  <si>
    <t xml:space="preserve">雑益</t>
  </si>
  <si>
    <t xml:space="preserve">雑収入</t>
  </si>
  <si>
    <t xml:space="preserve">4310</t>
  </si>
  <si>
    <t xml:space="preserve">固定資産売却益</t>
  </si>
  <si>
    <t xml:space="preserve">特別利益</t>
  </si>
  <si>
    <t xml:space="preserve">5110</t>
  </si>
  <si>
    <r>
      <rPr>
        <sz val="11"/>
        <color rgb="FF1F3A5F"/>
        <rFont val="Linux Libertine G"/>
        <family val="2"/>
      </rPr>
      <t xml:space="preserve">仕入</t>
    </r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売上原価</t>
    </r>
    <r>
      <rPr>
        <sz val="11"/>
        <color rgb="FF1F3A5F"/>
        <rFont val="游ゴシック"/>
        <family val="0"/>
        <charset val="1"/>
      </rPr>
      <t xml:space="preserve">)</t>
    </r>
  </si>
  <si>
    <t xml:space="preserve">費用</t>
  </si>
  <si>
    <t xml:space="preserve">売上原価</t>
  </si>
  <si>
    <t xml:space="preserve">5120</t>
  </si>
  <si>
    <t xml:space="preserve">棚卸減耗損</t>
  </si>
  <si>
    <t xml:space="preserve">売上原価または販管費</t>
  </si>
  <si>
    <t xml:space="preserve">5130</t>
  </si>
  <si>
    <t xml:space="preserve">商品評価損</t>
  </si>
  <si>
    <t xml:space="preserve">6110</t>
  </si>
  <si>
    <t xml:space="preserve">給料</t>
  </si>
  <si>
    <t xml:space="preserve">販売費及び一般管理費</t>
  </si>
  <si>
    <t xml:space="preserve">給料手当</t>
  </si>
  <si>
    <t xml:space="preserve">6120</t>
  </si>
  <si>
    <t xml:space="preserve">法定福利費</t>
  </si>
  <si>
    <t xml:space="preserve">6130</t>
  </si>
  <si>
    <t xml:space="preserve">旅費交通費</t>
  </si>
  <si>
    <t xml:space="preserve">6140</t>
  </si>
  <si>
    <t xml:space="preserve">通信費</t>
  </si>
  <si>
    <t xml:space="preserve">6150</t>
  </si>
  <si>
    <t xml:space="preserve">消耗品費</t>
  </si>
  <si>
    <t xml:space="preserve">6160</t>
  </si>
  <si>
    <t xml:space="preserve">支払家賃</t>
  </si>
  <si>
    <t xml:space="preserve">地代家賃</t>
  </si>
  <si>
    <t xml:space="preserve">6170</t>
  </si>
  <si>
    <t xml:space="preserve">支払手数料</t>
  </si>
  <si>
    <t xml:space="preserve">6180</t>
  </si>
  <si>
    <t xml:space="preserve">租税公課</t>
  </si>
  <si>
    <t xml:space="preserve">6190</t>
  </si>
  <si>
    <t xml:space="preserve">減価償却費</t>
  </si>
  <si>
    <t xml:space="preserve">6200</t>
  </si>
  <si>
    <t xml:space="preserve">貸倒引当金繰入</t>
  </si>
  <si>
    <t xml:space="preserve">貸倒引当金繰入額</t>
  </si>
  <si>
    <t xml:space="preserve">6210</t>
  </si>
  <si>
    <t xml:space="preserve">賞与引当金繰入</t>
  </si>
  <si>
    <t xml:space="preserve">賞与引当金繰入額</t>
  </si>
  <si>
    <t xml:space="preserve">7110</t>
  </si>
  <si>
    <t xml:space="preserve">支払利息</t>
  </si>
  <si>
    <t xml:space="preserve">営業外費用</t>
  </si>
  <si>
    <t xml:space="preserve">7120</t>
  </si>
  <si>
    <t xml:space="preserve">雑損</t>
  </si>
  <si>
    <t xml:space="preserve">雑損失</t>
  </si>
  <si>
    <t xml:space="preserve">7210</t>
  </si>
  <si>
    <t xml:space="preserve">固定資産売却損</t>
  </si>
  <si>
    <t xml:space="preserve">特別損失</t>
  </si>
  <si>
    <t xml:space="preserve">8110</t>
  </si>
  <si>
    <t xml:space="preserve">法人税、住民税及び事業税</t>
  </si>
  <si>
    <t xml:space="preserve">税金等</t>
  </si>
  <si>
    <t xml:space="preserve">8120</t>
  </si>
  <si>
    <t xml:space="preserve">法人税等調整額</t>
  </si>
  <si>
    <t xml:space="preserve">決算整理チェックリスト</t>
  </si>
  <si>
    <r>
      <rPr>
        <sz val="10"/>
        <color rgb="FF4A5D78"/>
        <rFont val="Linux Libertine G"/>
        <family val="2"/>
      </rPr>
      <t xml:space="preserve">毎回の決算で使う。黄色の欄</t>
    </r>
    <r>
      <rPr>
        <sz val="10"/>
        <color rgb="FF4A5D78"/>
        <rFont val="游ゴシック"/>
        <family val="0"/>
        <charset val="1"/>
      </rPr>
      <t xml:space="preserve">(</t>
    </r>
    <r>
      <rPr>
        <sz val="10"/>
        <color rgb="FF4A5D78"/>
        <rFont val="Linux Libertine G"/>
        <family val="2"/>
      </rPr>
      <t xml:space="preserve">担当・期限・完了・メモ</t>
    </r>
    <r>
      <rPr>
        <sz val="10"/>
        <color rgb="FF4A5D78"/>
        <rFont val="游ゴシック"/>
        <family val="0"/>
        <charset val="1"/>
      </rPr>
      <t xml:space="preserve">)</t>
    </r>
    <r>
      <rPr>
        <sz val="10"/>
        <color rgb="FF4A5D78"/>
        <rFont val="Linux Libertine G"/>
        <family val="2"/>
      </rPr>
      <t xml:space="preserve">を記入する。仕訳の金額は例</t>
    </r>
  </si>
  <si>
    <r>
      <rPr>
        <b val="true"/>
        <sz val="11"/>
        <color rgb="FFFFFFFF"/>
        <rFont val="Linux Libertine G"/>
        <family val="2"/>
      </rPr>
      <t xml:space="preserve">仕訳の型</t>
    </r>
    <r>
      <rPr>
        <b val="true"/>
        <sz val="11"/>
        <color rgb="FFFFFFFF"/>
        <rFont val="游ゴシック"/>
        <family val="0"/>
        <charset val="1"/>
      </rPr>
      <t xml:space="preserve">(</t>
    </r>
    <r>
      <rPr>
        <b val="true"/>
        <sz val="11"/>
        <color rgb="FFFFFFFF"/>
        <rFont val="Linux Libertine G"/>
        <family val="2"/>
      </rPr>
      <t xml:space="preserve">例</t>
    </r>
    <r>
      <rPr>
        <b val="true"/>
        <sz val="11"/>
        <color rgb="FFFFFFFF"/>
        <rFont val="游ゴシック"/>
        <family val="0"/>
        <charset val="1"/>
      </rPr>
      <t xml:space="preserve">)</t>
    </r>
  </si>
  <si>
    <t xml:space="preserve">根拠資料</t>
  </si>
  <si>
    <t xml:space="preserve">担当</t>
  </si>
  <si>
    <t xml:space="preserve">期限</t>
  </si>
  <si>
    <t xml:space="preserve">完了</t>
  </si>
  <si>
    <r>
      <rPr>
        <sz val="11"/>
        <color rgb="FF1F3A5F"/>
        <rFont val="Linux Libertine G"/>
        <family val="2"/>
      </rPr>
      <t xml:space="preserve">売上原価の計算</t>
    </r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三分法</t>
    </r>
    <r>
      <rPr>
        <sz val="11"/>
        <color rgb="FF1F3A5F"/>
        <rFont val="游ゴシック"/>
        <family val="0"/>
        <charset val="1"/>
      </rPr>
      <t xml:space="preserve">)</t>
    </r>
  </si>
  <si>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仕入 </t>
    </r>
    <r>
      <rPr>
        <sz val="10"/>
        <color rgb="FF1F3A5F"/>
        <rFont val="游ゴシック"/>
        <family val="0"/>
        <charset val="1"/>
      </rPr>
      <t xml:space="preserve">200 </t>
    </r>
    <r>
      <rPr>
        <sz val="10"/>
        <color rgb="FF1F3A5F"/>
        <rFont val="Linux Libertine G"/>
        <family val="2"/>
      </rPr>
      <t xml:space="preserve">／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繰越商品 </t>
    </r>
    <r>
      <rPr>
        <sz val="10"/>
        <color rgb="FF1F3A5F"/>
        <rFont val="游ゴシック"/>
        <family val="0"/>
        <charset val="1"/>
      </rPr>
      <t xml:space="preserve">200
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繰越商品 </t>
    </r>
    <r>
      <rPr>
        <sz val="10"/>
        <color rgb="FF1F3A5F"/>
        <rFont val="游ゴシック"/>
        <family val="0"/>
        <charset val="1"/>
      </rPr>
      <t xml:space="preserve">300 </t>
    </r>
    <r>
      <rPr>
        <sz val="10"/>
        <color rgb="FF1F3A5F"/>
        <rFont val="Linux Libertine G"/>
        <family val="2"/>
      </rPr>
      <t xml:space="preserve">／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仕入 </t>
    </r>
    <r>
      <rPr>
        <sz val="10"/>
        <color rgb="FF1F3A5F"/>
        <rFont val="游ゴシック"/>
        <family val="0"/>
        <charset val="1"/>
      </rPr>
      <t xml:space="preserve">300</t>
    </r>
  </si>
  <si>
    <t xml:space="preserve">商品有高帳・棚卸表</t>
  </si>
  <si>
    <t xml:space="preserve">未</t>
  </si>
  <si>
    <t xml:space="preserve">棚卸減耗損・商品評価損</t>
  </si>
  <si>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棚卸減耗損 </t>
    </r>
    <r>
      <rPr>
        <sz val="10"/>
        <color rgb="FF1F3A5F"/>
        <rFont val="游ゴシック"/>
        <family val="0"/>
        <charset val="1"/>
      </rPr>
      <t xml:space="preserve">50 </t>
    </r>
    <r>
      <rPr>
        <sz val="10"/>
        <color rgb="FF1F3A5F"/>
        <rFont val="Linux Libertine G"/>
        <family val="2"/>
      </rPr>
      <t xml:space="preserve">／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繰越商品 </t>
    </r>
    <r>
      <rPr>
        <sz val="10"/>
        <color rgb="FF1F3A5F"/>
        <rFont val="游ゴシック"/>
        <family val="0"/>
        <charset val="1"/>
      </rPr>
      <t xml:space="preserve">50
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商品評価損 </t>
    </r>
    <r>
      <rPr>
        <sz val="10"/>
        <color rgb="FF1F3A5F"/>
        <rFont val="游ゴシック"/>
        <family val="0"/>
        <charset val="1"/>
      </rPr>
      <t xml:space="preserve">20 </t>
    </r>
    <r>
      <rPr>
        <sz val="10"/>
        <color rgb="FF1F3A5F"/>
        <rFont val="Linux Libertine G"/>
        <family val="2"/>
      </rPr>
      <t xml:space="preserve">／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繰越商品 </t>
    </r>
    <r>
      <rPr>
        <sz val="10"/>
        <color rgb="FF1F3A5F"/>
        <rFont val="游ゴシック"/>
        <family val="0"/>
        <charset val="1"/>
      </rPr>
      <t xml:space="preserve">20</t>
    </r>
  </si>
  <si>
    <t xml:space="preserve">実地棚卸表</t>
  </si>
  <si>
    <t xml:space="preserve">減価償却</t>
  </si>
  <si>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減価償却費 </t>
    </r>
    <r>
      <rPr>
        <sz val="10"/>
        <color rgb="FF1F3A5F"/>
        <rFont val="游ゴシック"/>
        <family val="0"/>
        <charset val="1"/>
      </rPr>
      <t xml:space="preserve">200,000 </t>
    </r>
    <r>
      <rPr>
        <sz val="10"/>
        <color rgb="FF1F3A5F"/>
        <rFont val="Linux Libertine G"/>
        <family val="2"/>
      </rPr>
      <t xml:space="preserve">／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備品減価償却累計額 </t>
    </r>
    <r>
      <rPr>
        <sz val="10"/>
        <color rgb="FF1F3A5F"/>
        <rFont val="游ゴシック"/>
        <family val="0"/>
        <charset val="1"/>
      </rPr>
      <t xml:space="preserve">200,000</t>
    </r>
  </si>
  <si>
    <t xml:space="preserve">固定資産台帳</t>
  </si>
  <si>
    <r>
      <rPr>
        <sz val="11"/>
        <color rgb="FF1F3A5F"/>
        <rFont val="Linux Libertine G"/>
        <family val="2"/>
      </rPr>
      <t xml:space="preserve">貸倒引当金</t>
    </r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差額補充法</t>
    </r>
    <r>
      <rPr>
        <sz val="11"/>
        <color rgb="FF1F3A5F"/>
        <rFont val="游ゴシック"/>
        <family val="0"/>
        <charset val="1"/>
      </rPr>
      <t xml:space="preserve">)</t>
    </r>
  </si>
  <si>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貸倒引当金繰入 </t>
    </r>
    <r>
      <rPr>
        <sz val="10"/>
        <color rgb="FF1F3A5F"/>
        <rFont val="游ゴシック"/>
        <family val="0"/>
        <charset val="1"/>
      </rPr>
      <t xml:space="preserve">200 </t>
    </r>
    <r>
      <rPr>
        <sz val="10"/>
        <color rgb="FF1F3A5F"/>
        <rFont val="Linux Libertine G"/>
        <family val="2"/>
      </rPr>
      <t xml:space="preserve">／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貸倒引当金 </t>
    </r>
    <r>
      <rPr>
        <sz val="10"/>
        <color rgb="FF1F3A5F"/>
        <rFont val="游ゴシック"/>
        <family val="0"/>
        <charset val="1"/>
      </rPr>
      <t xml:space="preserve">200</t>
    </r>
  </si>
  <si>
    <t xml:space="preserve">売掛金元帳・貸倒実績率</t>
  </si>
  <si>
    <r>
      <rPr>
        <sz val="11"/>
        <color rgb="FF1F3A5F"/>
        <rFont val="Linux Libertine G"/>
        <family val="2"/>
      </rPr>
      <t xml:space="preserve">経過勘定</t>
    </r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前払・未払・未収・前受</t>
    </r>
    <r>
      <rPr>
        <sz val="11"/>
        <color rgb="FF1F3A5F"/>
        <rFont val="游ゴシック"/>
        <family val="0"/>
        <charset val="1"/>
      </rPr>
      <t xml:space="preserve">)</t>
    </r>
  </si>
  <si>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支払家賃 </t>
    </r>
    <r>
      <rPr>
        <sz val="10"/>
        <color rgb="FF1F3A5F"/>
        <rFont val="游ゴシック"/>
        <family val="0"/>
        <charset val="1"/>
      </rPr>
      <t xml:space="preserve">10,000 </t>
    </r>
    <r>
      <rPr>
        <sz val="10"/>
        <color rgb="FF1F3A5F"/>
        <rFont val="Linux Libertine G"/>
        <family val="2"/>
      </rPr>
      <t xml:space="preserve">／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未払家賃 </t>
    </r>
    <r>
      <rPr>
        <sz val="10"/>
        <color rgb="FF1F3A5F"/>
        <rFont val="游ゴシック"/>
        <family val="0"/>
        <charset val="1"/>
      </rPr>
      <t xml:space="preserve">10,000</t>
    </r>
  </si>
  <si>
    <t xml:space="preserve">契約書</t>
  </si>
  <si>
    <t xml:space="preserve">有価証券の評価</t>
  </si>
  <si>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その他有価証券 </t>
    </r>
    <r>
      <rPr>
        <sz val="10"/>
        <color rgb="FF1F3A5F"/>
        <rFont val="游ゴシック"/>
        <family val="0"/>
        <charset val="1"/>
      </rPr>
      <t xml:space="preserve">100 </t>
    </r>
    <r>
      <rPr>
        <sz val="10"/>
        <color rgb="FF1F3A5F"/>
        <rFont val="Linux Libertine G"/>
        <family val="2"/>
      </rPr>
      <t xml:space="preserve">／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その他有価証券評価差額金 </t>
    </r>
    <r>
      <rPr>
        <sz val="10"/>
        <color rgb="FF1F3A5F"/>
        <rFont val="游ゴシック"/>
        <family val="0"/>
        <charset val="1"/>
      </rPr>
      <t xml:space="preserve">100</t>
    </r>
  </si>
  <si>
    <t xml:space="preserve">時価の資料</t>
  </si>
  <si>
    <t xml:space="preserve">外貨建項目の換算</t>
  </si>
  <si>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売掛金 </t>
    </r>
    <r>
      <rPr>
        <sz val="10"/>
        <color rgb="FF1F3A5F"/>
        <rFont val="游ゴシック"/>
        <family val="0"/>
        <charset val="1"/>
      </rPr>
      <t xml:space="preserve">1,000 </t>
    </r>
    <r>
      <rPr>
        <sz val="10"/>
        <color rgb="FF1F3A5F"/>
        <rFont val="Linux Libertine G"/>
        <family val="2"/>
      </rPr>
      <t xml:space="preserve">／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為替差損益 </t>
    </r>
    <r>
      <rPr>
        <sz val="10"/>
        <color rgb="FF1F3A5F"/>
        <rFont val="游ゴシック"/>
        <family val="0"/>
        <charset val="1"/>
      </rPr>
      <t xml:space="preserve">1,000</t>
    </r>
  </si>
  <si>
    <t xml:space="preserve">決算日レート</t>
  </si>
  <si>
    <t xml:space="preserve">賞与・退職給付などの引当金</t>
  </si>
  <si>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賞与引当金繰入 </t>
    </r>
    <r>
      <rPr>
        <sz val="10"/>
        <color rgb="FF1F3A5F"/>
        <rFont val="游ゴシック"/>
        <family val="0"/>
        <charset val="1"/>
      </rPr>
      <t xml:space="preserve">500,000 </t>
    </r>
    <r>
      <rPr>
        <sz val="10"/>
        <color rgb="FF1F3A5F"/>
        <rFont val="Linux Libertine G"/>
        <family val="2"/>
      </rPr>
      <t xml:space="preserve">／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賞与引当金 </t>
    </r>
    <r>
      <rPr>
        <sz val="10"/>
        <color rgb="FF1F3A5F"/>
        <rFont val="游ゴシック"/>
        <family val="0"/>
        <charset val="1"/>
      </rPr>
      <t xml:space="preserve">500,000</t>
    </r>
  </si>
  <si>
    <t xml:space="preserve">支給見込額</t>
  </si>
  <si>
    <t xml:space="preserve">現金過不足の整理</t>
  </si>
  <si>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雑損 </t>
    </r>
    <r>
      <rPr>
        <sz val="10"/>
        <color rgb="FF1F3A5F"/>
        <rFont val="游ゴシック"/>
        <family val="0"/>
        <charset val="1"/>
      </rPr>
      <t xml:space="preserve">500 </t>
    </r>
    <r>
      <rPr>
        <sz val="10"/>
        <color rgb="FF1F3A5F"/>
        <rFont val="Linux Libertine G"/>
        <family val="2"/>
      </rPr>
      <t xml:space="preserve">／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現金過不足 </t>
    </r>
    <r>
      <rPr>
        <sz val="10"/>
        <color rgb="FF1F3A5F"/>
        <rFont val="游ゴシック"/>
        <family val="0"/>
        <charset val="1"/>
      </rPr>
      <t xml:space="preserve">500</t>
    </r>
  </si>
  <si>
    <t xml:space="preserve">現金出納帳</t>
  </si>
  <si>
    <r>
      <rPr>
        <sz val="11"/>
        <color rgb="FF1F3A5F"/>
        <rFont val="Linux Libertine G"/>
        <family val="2"/>
      </rPr>
      <t xml:space="preserve">消費税の整理</t>
    </r>
    <r>
      <rPr>
        <sz val="11"/>
        <color rgb="FF1F3A5F"/>
        <rFont val="游ゴシック"/>
        <family val="0"/>
        <charset val="1"/>
      </rPr>
      <t xml:space="preserve">(</t>
    </r>
    <r>
      <rPr>
        <sz val="11"/>
        <color rgb="FF1F3A5F"/>
        <rFont val="Linux Libertine G"/>
        <family val="2"/>
      </rPr>
      <t xml:space="preserve">税抜方式</t>
    </r>
    <r>
      <rPr>
        <sz val="11"/>
        <color rgb="FF1F3A5F"/>
        <rFont val="游ゴシック"/>
        <family val="0"/>
        <charset val="1"/>
      </rPr>
      <t xml:space="preserve">)</t>
    </r>
  </si>
  <si>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仮受消費税 </t>
    </r>
    <r>
      <rPr>
        <sz val="10"/>
        <color rgb="FF1F3A5F"/>
        <rFont val="游ゴシック"/>
        <family val="0"/>
        <charset val="1"/>
      </rPr>
      <t xml:space="preserve">300 </t>
    </r>
    <r>
      <rPr>
        <sz val="10"/>
        <color rgb="FF1F3A5F"/>
        <rFont val="Linux Libertine G"/>
        <family val="2"/>
      </rPr>
      <t xml:space="preserve">／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仮払消費税 </t>
    </r>
    <r>
      <rPr>
        <sz val="10"/>
        <color rgb="FF1F3A5F"/>
        <rFont val="游ゴシック"/>
        <family val="0"/>
        <charset val="1"/>
      </rPr>
      <t xml:space="preserve">100
</t>
    </r>
    <r>
      <rPr>
        <sz val="10"/>
        <color rgb="FF1F3A5F"/>
        <rFont val="Linux Libertine G"/>
        <family val="2"/>
      </rPr>
      <t xml:space="preserve">　　　　　　　　　／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未払消費税 </t>
    </r>
    <r>
      <rPr>
        <sz val="10"/>
        <color rgb="FF1F3A5F"/>
        <rFont val="游ゴシック"/>
        <family val="0"/>
        <charset val="1"/>
      </rPr>
      <t xml:space="preserve">200</t>
    </r>
  </si>
  <si>
    <t xml:space="preserve">消費税の計算書</t>
  </si>
  <si>
    <t xml:space="preserve">法人税等</t>
  </si>
  <si>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法人税、住民税及び事業税 </t>
    </r>
    <r>
      <rPr>
        <sz val="10"/>
        <color rgb="FF1F3A5F"/>
        <rFont val="游ゴシック"/>
        <family val="0"/>
        <charset val="1"/>
      </rPr>
      <t xml:space="preserve">500,000 </t>
    </r>
    <r>
      <rPr>
        <sz val="10"/>
        <color rgb="FF1F3A5F"/>
        <rFont val="Linux Libertine G"/>
        <family val="2"/>
      </rPr>
      <t xml:space="preserve">／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仮払法人税等 </t>
    </r>
    <r>
      <rPr>
        <sz val="10"/>
        <color rgb="FF1F3A5F"/>
        <rFont val="游ゴシック"/>
        <family val="0"/>
        <charset val="1"/>
      </rPr>
      <t xml:space="preserve">200,000
</t>
    </r>
    <r>
      <rPr>
        <sz val="10"/>
        <color rgb="FF1F3A5F"/>
        <rFont val="Linux Libertine G"/>
        <family val="2"/>
      </rPr>
      <t xml:space="preserve">　　　　　　　　　　　　　　　　　／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未払法人税等 </t>
    </r>
    <r>
      <rPr>
        <sz val="10"/>
        <color rgb="FF1F3A5F"/>
        <rFont val="游ゴシック"/>
        <family val="0"/>
        <charset val="1"/>
      </rPr>
      <t xml:space="preserve">300,000</t>
    </r>
  </si>
  <si>
    <t xml:space="preserve">税額計算書</t>
  </si>
  <si>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借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繰延税金資産 </t>
    </r>
    <r>
      <rPr>
        <sz val="10"/>
        <color rgb="FF1F3A5F"/>
        <rFont val="游ゴシック"/>
        <family val="0"/>
        <charset val="1"/>
      </rPr>
      <t xml:space="preserve">300 </t>
    </r>
    <r>
      <rPr>
        <sz val="10"/>
        <color rgb="FF1F3A5F"/>
        <rFont val="Linux Libertine G"/>
        <family val="2"/>
      </rPr>
      <t xml:space="preserve">／</t>
    </r>
    <r>
      <rPr>
        <sz val="10"/>
        <color rgb="FF1F3A5F"/>
        <rFont val="游ゴシック"/>
        <family val="0"/>
        <charset val="1"/>
      </rPr>
      <t xml:space="preserve">(</t>
    </r>
    <r>
      <rPr>
        <sz val="10"/>
        <color rgb="FF1F3A5F"/>
        <rFont val="Linux Libertine G"/>
        <family val="2"/>
      </rPr>
      <t xml:space="preserve">貸</t>
    </r>
    <r>
      <rPr>
        <sz val="10"/>
        <color rgb="FF1F3A5F"/>
        <rFont val="游ゴシック"/>
        <family val="0"/>
        <charset val="1"/>
      </rPr>
      <t xml:space="preserve">)</t>
    </r>
    <r>
      <rPr>
        <sz val="10"/>
        <color rgb="FF1F3A5F"/>
        <rFont val="Linux Libertine G"/>
        <family val="2"/>
      </rPr>
      <t xml:space="preserve">法人税等調整額 </t>
    </r>
    <r>
      <rPr>
        <sz val="10"/>
        <color rgb="FF1F3A5F"/>
        <rFont val="游ゴシック"/>
        <family val="0"/>
        <charset val="1"/>
      </rPr>
      <t xml:space="preserve">300</t>
    </r>
  </si>
  <si>
    <t xml:space="preserve">一時差異の一覧</t>
  </si>
  <si>
    <t xml:space="preserve">帳簿の締切・繰越</t>
  </si>
  <si>
    <t xml:space="preserve">収益・費用を損益勘定へ、当期純利益を繰越利益剰余金へ振替</t>
  </si>
  <si>
    <t xml:space="preserve">総勘定元帳</t>
  </si>
  <si>
    <r>
      <rPr>
        <b val="true"/>
        <sz val="16"/>
        <color rgb="FF1F3A5F"/>
        <rFont val="Linux Libertine G"/>
        <family val="2"/>
      </rPr>
      <t xml:space="preserve">領域ごとの進捗</t>
    </r>
    <r>
      <rPr>
        <b val="true"/>
        <sz val="16"/>
        <color rgb="FF1F3A5F"/>
        <rFont val="游ゴシック"/>
        <family val="0"/>
        <charset val="1"/>
      </rPr>
      <t xml:space="preserve">(</t>
    </r>
    <r>
      <rPr>
        <b val="true"/>
        <sz val="16"/>
        <color rgb="FF1F3A5F"/>
        <rFont val="Linux Libertine G"/>
        <family val="2"/>
      </rPr>
      <t xml:space="preserve">自動集計</t>
    </r>
    <r>
      <rPr>
        <b val="true"/>
        <sz val="16"/>
        <color rgb="FF1F3A5F"/>
        <rFont val="游ゴシック"/>
        <family val="0"/>
        <charset val="1"/>
      </rPr>
      <t xml:space="preserve">)</t>
    </r>
  </si>
  <si>
    <t xml:space="preserve">設計シートの「状態」から自動で計算する。記入は不要</t>
  </si>
  <si>
    <t xml:space="preserve">項目数</t>
  </si>
  <si>
    <t xml:space="preserve">検討中</t>
  </si>
  <si>
    <t xml:space="preserve">① 前提条件</t>
  </si>
  <si>
    <t xml:space="preserve">② 帳簿組織</t>
  </si>
  <si>
    <t xml:space="preserve">③ 勘定科目体系</t>
  </si>
  <si>
    <t xml:space="preserve">④ 会計方針</t>
  </si>
  <si>
    <t xml:space="preserve">⑤ 日常取引の記帳ルール</t>
  </si>
  <si>
    <t xml:space="preserve">⑥ 月次・決算プロセス</t>
  </si>
  <si>
    <t xml:space="preserve">⑦ 財務諸表の表示ルール</t>
  </si>
  <si>
    <t xml:space="preserve">合計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</si>
</sst>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m/d"/>
    <numFmt numFmtId="167" formatCode="0%"/>
  </numFmts>
  <fonts count="24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Linux Libertine G"/>
      <family val="2"/>
    </font>
    <font>
      <b val="true"/>
      <sz val="18"/>
      <color rgb="FF1F3A5F"/>
      <name val="游ゴシック"/>
      <family val="0"/>
      <charset val="1"/>
    </font>
    <font>
      <sz val="11"/>
      <color rgb="FF4A5D78"/>
      <name val="Linux Libertine G"/>
      <family val="2"/>
    </font>
    <font>
      <sz val="11"/>
      <color rgb="FF4A5D78"/>
      <name val="游ゴシック"/>
      <family val="0"/>
      <charset val="1"/>
    </font>
    <font>
      <b val="true"/>
      <sz val="13"/>
      <color rgb="FF1F6FEB"/>
      <name val="Linux Libertine G"/>
      <family val="2"/>
    </font>
    <font>
      <b val="true"/>
      <sz val="11"/>
      <color rgb="FF1F3A5F"/>
      <name val="Linux Libertine G"/>
      <family val="2"/>
    </font>
    <font>
      <sz val="11"/>
      <color rgb="FF1F3A5F"/>
      <name val="游ゴシック"/>
      <family val="0"/>
      <charset val="1"/>
    </font>
    <font>
      <sz val="11"/>
      <color rgb="FF1F3A5F"/>
      <name val="Linux Libertine G"/>
      <family val="2"/>
    </font>
    <font>
      <b val="true"/>
      <sz val="16"/>
      <color rgb="FF1F3A5F"/>
      <name val="Linux Libertine G"/>
      <family val="2"/>
    </font>
    <font>
      <b val="true"/>
      <sz val="12"/>
      <color rgb="FF16A34A"/>
      <name val="游ゴシック"/>
      <family val="0"/>
      <charset val="1"/>
    </font>
    <font>
      <b val="true"/>
      <sz val="11"/>
      <color rgb="FFFFFFFF"/>
      <name val="游ゴシック"/>
      <family val="0"/>
      <charset val="1"/>
    </font>
    <font>
      <b val="true"/>
      <sz val="11"/>
      <color rgb="FFFFFFFF"/>
      <name val="Linux Libertine G"/>
      <family val="2"/>
    </font>
    <font>
      <b val="true"/>
      <sz val="12"/>
      <color rgb="FFFFFFFF"/>
      <name val="Linux Libertine G"/>
      <family val="2"/>
    </font>
    <font>
      <sz val="10"/>
      <color rgb="FF4A5D78"/>
      <name val="Linux Libertine G"/>
      <family val="2"/>
    </font>
    <font>
      <sz val="10"/>
      <color rgb="FF1F3A5F"/>
      <name val="Linux Libertine G"/>
      <family val="2"/>
    </font>
    <font>
      <b val="true"/>
      <sz val="11"/>
      <color rgb="FF1F3A5F"/>
      <name val="游ゴシック"/>
      <family val="0"/>
      <charset val="1"/>
    </font>
    <font>
      <sz val="10"/>
      <color rgb="FF4A5D78"/>
      <name val="游ゴシック"/>
      <family val="0"/>
      <charset val="1"/>
    </font>
    <font>
      <sz val="10"/>
      <color rgb="FF1F3A5F"/>
      <name val="游ゴシック"/>
      <family val="0"/>
      <charset val="1"/>
    </font>
    <font>
      <b val="true"/>
      <sz val="16"/>
      <color rgb="FF1F3A5F"/>
      <name val="游ゴシック"/>
      <family val="0"/>
      <charset val="1"/>
    </font>
    <font>
      <b val="true"/>
      <sz val="11"/>
      <color rgb="FF16A34A"/>
      <name val="游ゴシック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2CC"/>
        <bgColor rgb="FFFCEBDD"/>
      </patternFill>
    </fill>
    <fill>
      <patternFill patternType="solid">
        <fgColor rgb="FF1F3A5F"/>
        <bgColor rgb="FF333333"/>
      </patternFill>
    </fill>
    <fill>
      <patternFill patternType="solid">
        <fgColor rgb="FF1F6FEB"/>
        <bgColor rgb="FF0066CC"/>
      </patternFill>
    </fill>
    <fill>
      <patternFill patternType="solid">
        <fgColor rgb="FFDDE9FC"/>
        <bgColor rgb="FFE8EDF4"/>
      </patternFill>
    </fill>
    <fill>
      <patternFill patternType="solid">
        <fgColor rgb="FF0FA18D"/>
        <bgColor rgb="FF16A34A"/>
      </patternFill>
    </fill>
    <fill>
      <patternFill patternType="solid">
        <fgColor rgb="FFDBF0ED"/>
        <bgColor rgb="FFDCF1E3"/>
      </patternFill>
    </fill>
    <fill>
      <patternFill patternType="solid">
        <fgColor rgb="FF7C3AED"/>
        <bgColor rgb="FF333399"/>
      </patternFill>
    </fill>
    <fill>
      <patternFill patternType="solid">
        <fgColor rgb="FFEBE1FC"/>
        <bgColor rgb="FFF1EBFF"/>
      </patternFill>
    </fill>
    <fill>
      <patternFill patternType="solid">
        <fgColor rgb="FFE8543F"/>
        <bgColor rgb="FFD9367D"/>
      </patternFill>
    </fill>
    <fill>
      <patternFill patternType="solid">
        <fgColor rgb="FFFBE5E2"/>
        <bgColor rgb="FFFCEBDD"/>
      </patternFill>
    </fill>
    <fill>
      <patternFill patternType="solid">
        <fgColor rgb="FFF07C1E"/>
        <bgColor rgb="FFFF9900"/>
      </patternFill>
    </fill>
    <fill>
      <patternFill patternType="solid">
        <fgColor rgb="FFFCEBDD"/>
        <bgColor rgb="FFFBE5E2"/>
      </patternFill>
    </fill>
    <fill>
      <patternFill patternType="solid">
        <fgColor rgb="FF16A34A"/>
        <bgColor rgb="FF0FA18D"/>
      </patternFill>
    </fill>
    <fill>
      <patternFill patternType="solid">
        <fgColor rgb="FFDCF1E3"/>
        <bgColor rgb="FFDCF5E3"/>
      </patternFill>
    </fill>
    <fill>
      <patternFill patternType="solid">
        <fgColor rgb="FFDDE1E7"/>
        <bgColor rgb="FFDDE9FC"/>
      </patternFill>
    </fill>
    <fill>
      <patternFill patternType="solid">
        <fgColor rgb="FFD9367D"/>
        <bgColor rgb="FFE8543F"/>
      </patternFill>
    </fill>
    <fill>
      <patternFill patternType="solid">
        <fgColor rgb="FFF9E0EB"/>
        <bgColor rgb="FFFBE5E2"/>
      </patternFill>
    </fill>
    <fill>
      <patternFill patternType="solid">
        <fgColor rgb="FFE6F0FF"/>
        <bgColor rgb="FFE8EDF4"/>
      </patternFill>
    </fill>
    <fill>
      <patternFill patternType="solid">
        <fgColor rgb="FFFCE8F1"/>
        <bgColor rgb="FFFBE5E2"/>
      </patternFill>
    </fill>
    <fill>
      <patternFill patternType="solid">
        <fgColor rgb="FFF1EBFF"/>
        <bgColor rgb="FFE8EDF4"/>
      </patternFill>
    </fill>
    <fill>
      <patternFill patternType="solid">
        <fgColor rgb="FFE3F7EA"/>
        <bgColor rgb="FFDCF5E3"/>
      </patternFill>
    </fill>
    <fill>
      <patternFill patternType="solid">
        <fgColor rgb="FFFEF1E4"/>
        <bgColor rgb="FFFCEBDD"/>
      </patternFill>
    </fill>
    <fill>
      <patternFill patternType="solid">
        <fgColor rgb="FFE8EDF4"/>
        <bgColor rgb="FFE6F0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E8"/>
      </left>
      <right style="thin">
        <color rgb="FFC9D6E8"/>
      </right>
      <top style="thin">
        <color rgb="FFC9D6E8"/>
      </top>
      <bottom style="thin">
        <color rgb="FFC9D6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1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1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2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8">
    <dxf>
      <fill>
        <patternFill patternType="solid">
          <fgColor rgb="FF0FA18D"/>
          <bgColor rgb="FF000000"/>
        </patternFill>
      </fill>
    </dxf>
    <dxf>
      <fill>
        <patternFill patternType="solid">
          <fgColor rgb="FF16A34A"/>
          <bgColor rgb="FF000000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fgColor rgb="FF1F6FEB"/>
          <bgColor rgb="FF000000"/>
        </patternFill>
      </fill>
    </dxf>
    <dxf>
      <fill>
        <patternFill patternType="solid">
          <fgColor rgb="FF7C3AED"/>
          <bgColor rgb="FF000000"/>
        </patternFill>
      </fill>
    </dxf>
    <dxf>
      <fill>
        <patternFill patternType="solid">
          <fgColor rgb="FFD9367D"/>
          <bgColor rgb="FF000000"/>
        </patternFill>
      </fill>
    </dxf>
    <dxf>
      <fill>
        <patternFill patternType="solid">
          <fgColor rgb="FFE8543F"/>
          <bgColor rgb="FF000000"/>
        </patternFill>
      </fill>
    </dxf>
    <dxf>
      <fill>
        <patternFill patternType="solid">
          <fgColor rgb="FFF07C1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BF0ED"/>
          <bgColor rgb="FF000000"/>
        </patternFill>
      </fill>
    </dxf>
    <dxf>
      <fill>
        <patternFill patternType="solid">
          <fgColor rgb="FFDCF1E3"/>
          <bgColor rgb="FF000000"/>
        </patternFill>
      </fill>
    </dxf>
    <dxf>
      <fill>
        <patternFill patternType="solid">
          <fgColor rgb="FFDDE1E7"/>
          <bgColor rgb="FF000000"/>
        </patternFill>
      </fill>
    </dxf>
    <dxf>
      <fill>
        <patternFill patternType="solid">
          <fgColor rgb="FFDDE9FC"/>
          <bgColor rgb="FF000000"/>
        </patternFill>
      </fill>
    </dxf>
    <dxf>
      <fill>
        <patternFill patternType="solid">
          <fgColor rgb="FFEBE1FC"/>
          <bgColor rgb="FF000000"/>
        </patternFill>
      </fill>
    </dxf>
    <dxf>
      <fill>
        <patternFill patternType="solid">
          <fgColor rgb="FFF9E0EB"/>
          <bgColor rgb="FF000000"/>
        </patternFill>
      </fill>
    </dxf>
    <dxf>
      <fill>
        <patternFill patternType="solid">
          <fgColor rgb="FFFBE5E2"/>
          <bgColor rgb="FF000000"/>
        </patternFill>
      </fill>
    </dxf>
    <dxf>
      <fill>
        <patternFill patternType="solid">
          <fgColor rgb="FFFCEBD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4A5D78"/>
          <bgColor rgb="FF000000"/>
        </patternFill>
      </fill>
    </dxf>
    <dxf>
      <font>
        <name val="游ゴシック"/>
        <charset val="1"/>
        <family val="0"/>
        <b val="1"/>
        <color rgb="FF16A34A"/>
      </font>
      <fill>
        <patternFill>
          <bgColor rgb="FFDCF5E3"/>
        </patternFill>
      </fill>
    </dxf>
    <dxf>
      <font>
        <name val="游ゴシック"/>
        <charset val="1"/>
        <family val="0"/>
        <b val="1"/>
        <color rgb="FFAE560C"/>
      </font>
      <fill>
        <patternFill>
          <bgColor rgb="FFFEF1E4"/>
        </patternFill>
      </fill>
    </dxf>
    <dxf>
      <fill>
        <patternFill patternType="solid">
          <fgColor rgb="FFE3F7EA"/>
          <bgColor rgb="FF000000"/>
        </patternFill>
      </fill>
    </dxf>
    <dxf>
      <fill>
        <patternFill patternType="solid">
          <fgColor rgb="FFE6F0FF"/>
          <bgColor rgb="FF000000"/>
        </patternFill>
      </fill>
    </dxf>
    <dxf>
      <fill>
        <patternFill patternType="solid">
          <fgColor rgb="FFF1EBFF"/>
          <bgColor rgb="FF000000"/>
        </patternFill>
      </fill>
    </dxf>
    <dxf>
      <fill>
        <patternFill patternType="solid">
          <fgColor rgb="FFFCE8F1"/>
          <bgColor rgb="FF000000"/>
        </patternFill>
      </fill>
    </dxf>
    <dxf>
      <fill>
        <patternFill patternType="solid">
          <fgColor rgb="FFFEF1E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CEBDD"/>
      <rgbColor rgb="FFFF00FF"/>
      <rgbColor rgb="FF00FFFF"/>
      <rgbColor rgb="FF800000"/>
      <rgbColor rgb="FF008000"/>
      <rgbColor rgb="FF000080"/>
      <rgbColor rgb="FF808000"/>
      <rgbColor rgb="FF800080"/>
      <rgbColor rgb="FF0FA18D"/>
      <rgbColor rgb="FFDDE1E7"/>
      <rgbColor rgb="FF808080"/>
      <rgbColor rgb="FFDCF1E3"/>
      <rgbColor rgb="FFD9367D"/>
      <rgbColor rgb="FFFFF2CC"/>
      <rgbColor rgb="FFDBF0ED"/>
      <rgbColor rgb="FF660066"/>
      <rgbColor rgb="FFE8543F"/>
      <rgbColor rgb="FF0066CC"/>
      <rgbColor rgb="FFC9D6E8"/>
      <rgbColor rgb="FF000080"/>
      <rgbColor rgb="FFFF00FF"/>
      <rgbColor rgb="FFFCE8F1"/>
      <rgbColor rgb="FF00FFFF"/>
      <rgbColor rgb="FF800080"/>
      <rgbColor rgb="FF800000"/>
      <rgbColor rgb="FF008080"/>
      <rgbColor rgb="FF0000FF"/>
      <rgbColor rgb="FF00CCFF"/>
      <rgbColor rgb="FFE3F7EA"/>
      <rgbColor rgb="FFDCF5E3"/>
      <rgbColor rgb="FFFEF1E4"/>
      <rgbColor rgb="FFDDE9FC"/>
      <rgbColor rgb="FFF9E0EB"/>
      <rgbColor rgb="FFEBE1FC"/>
      <rgbColor rgb="FFFBE5E2"/>
      <rgbColor rgb="FF1F6FEB"/>
      <rgbColor rgb="FF33CCCC"/>
      <rgbColor rgb="FFF1EBFF"/>
      <rgbColor rgb="FFE8EDF4"/>
      <rgbColor rgb="FFFF9900"/>
      <rgbColor rgb="FFF07C1E"/>
      <rgbColor rgb="FF4A5D78"/>
      <rgbColor rgb="FFE6F0FF"/>
      <rgbColor rgb="FF1F3A5F"/>
      <rgbColor rgb="FF16A34A"/>
      <rgbColor rgb="FF003300"/>
      <rgbColor rgb="FF333300"/>
      <rgbColor rgb="FFAE560C"/>
      <rgbColor rgb="FF7C3AE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3.26"/>
    <col collapsed="false" customWidth="true" hidden="false" outlineLevel="0" max="2" min="2" style="0" width="23.94"/>
    <col collapsed="false" customWidth="true" hidden="false" outlineLevel="0" max="3" min="3" style="0" width="87.06"/>
  </cols>
  <sheetData>
    <row r="2" customFormat="false" ht="24.6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6.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6" t="s">
        <v>6</v>
      </c>
    </row>
    <row r="8" customFormat="false" ht="15" hidden="false" customHeight="false" outlineLevel="0" collapsed="false">
      <c r="B8" s="4" t="s">
        <v>7</v>
      </c>
      <c r="C8" s="6" t="s">
        <v>8</v>
      </c>
    </row>
    <row r="9" customFormat="false" ht="15" hidden="false" customHeight="false" outlineLevel="0" collapsed="false">
      <c r="B9" s="4" t="s">
        <v>9</v>
      </c>
      <c r="C9" s="6" t="s">
        <v>10</v>
      </c>
    </row>
    <row r="11" customFormat="false" ht="16.15" hidden="false" customHeight="false" outlineLevel="0" collapsed="false">
      <c r="B11" s="3" t="s">
        <v>11</v>
      </c>
    </row>
    <row r="12" customFormat="false" ht="15" hidden="false" customHeight="false" outlineLevel="0" collapsed="false">
      <c r="B12" s="7" t="s">
        <v>12</v>
      </c>
      <c r="C12" s="6" t="s">
        <v>13</v>
      </c>
    </row>
    <row r="13" customFormat="false" ht="15" hidden="false" customHeight="false" outlineLevel="0" collapsed="false">
      <c r="B13" s="4" t="s">
        <v>14</v>
      </c>
      <c r="C13" s="6" t="s">
        <v>15</v>
      </c>
    </row>
    <row r="14" customFormat="false" ht="15" hidden="false" customHeight="false" outlineLevel="0" collapsed="false">
      <c r="B14" s="4" t="s">
        <v>16</v>
      </c>
      <c r="C14" s="6" t="s">
        <v>17</v>
      </c>
    </row>
    <row r="15" customFormat="false" ht="15" hidden="false" customHeight="false" outlineLevel="0" collapsed="false">
      <c r="B15" s="4" t="s">
        <v>18</v>
      </c>
      <c r="C15" s="6" t="s">
        <v>19</v>
      </c>
    </row>
    <row r="17" customFormat="false" ht="16.15" hidden="false" customHeight="false" outlineLevel="0" collapsed="false">
      <c r="B17" s="3" t="s">
        <v>20</v>
      </c>
    </row>
    <row r="18" customFormat="false" ht="26.85" hidden="false" customHeight="false" outlineLevel="0" collapsed="false">
      <c r="B18" s="4" t="s">
        <v>21</v>
      </c>
      <c r="C18" s="6" t="s">
        <v>22</v>
      </c>
    </row>
    <row r="19" customFormat="false" ht="15" hidden="false" customHeight="false" outlineLevel="0" collapsed="false">
      <c r="B19" s="4" t="s">
        <v>23</v>
      </c>
      <c r="C19" s="6" t="s">
        <v>24</v>
      </c>
    </row>
    <row r="20" customFormat="false" ht="15" hidden="false" customHeight="false" outlineLevel="0" collapsed="false">
      <c r="B20" s="4" t="s">
        <v>25</v>
      </c>
      <c r="C20" s="6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6.53"/>
    <col collapsed="false" customWidth="true" hidden="false" outlineLevel="0" max="2" min="2" style="0" width="15.23"/>
    <col collapsed="false" customWidth="true" hidden="false" outlineLevel="0" max="3" min="3" style="0" width="26.12"/>
    <col collapsed="false" customWidth="true" hidden="false" outlineLevel="0" max="4" min="4" style="0" width="37"/>
    <col collapsed="false" customWidth="true" hidden="false" outlineLevel="0" max="5" min="5" style="0" width="43.53"/>
    <col collapsed="false" customWidth="true" hidden="false" outlineLevel="0" max="7" min="6" style="0" width="32.65"/>
    <col collapsed="false" customWidth="true" hidden="false" outlineLevel="0" max="8" min="8" style="0" width="10.88"/>
    <col collapsed="false" customWidth="true" hidden="false" outlineLevel="0" max="9" min="9" style="0" width="32.65"/>
    <col collapsed="false" customWidth="true" hidden="false" outlineLevel="0" max="10" min="10" style="0" width="56.59"/>
  </cols>
  <sheetData>
    <row r="1" customFormat="false" ht="19.7" hidden="false" customHeight="false" outlineLevel="0" collapsed="false">
      <c r="A1" s="8" t="s">
        <v>27</v>
      </c>
    </row>
    <row r="2" customFormat="false" ht="16.4" hidden="false" customHeight="false" outlineLevel="0" collapsed="false">
      <c r="A2" s="4" t="s">
        <v>28</v>
      </c>
      <c r="B2" s="9"/>
      <c r="C2" s="9"/>
      <c r="D2" s="9"/>
      <c r="F2" s="10" t="s">
        <v>29</v>
      </c>
      <c r="G2" s="11" t="str">
        <f aca="false">COUNTIF(H6:H75,"決定")&amp;" / "&amp;COUNTA(H6:H75)&amp;" 項目"</f>
        <v>0 / 62 項目</v>
      </c>
    </row>
    <row r="3" customFormat="false" ht="15" hidden="false" customHeight="false" outlineLevel="0" collapsed="false">
      <c r="F3" s="10" t="s">
        <v>30</v>
      </c>
      <c r="G3" s="12" t="n">
        <f aca="false">IFERROR(COUNTIF(H6:H75,"決定")/COUNTA(H6:H75),0)</f>
        <v>0</v>
      </c>
    </row>
    <row r="5" customFormat="false" ht="15" hidden="false" customHeight="false" outlineLevel="0" collapsed="false">
      <c r="A5" s="13" t="s">
        <v>31</v>
      </c>
      <c r="B5" s="14" t="s">
        <v>32</v>
      </c>
      <c r="C5" s="14" t="s">
        <v>33</v>
      </c>
      <c r="D5" s="14" t="s">
        <v>34</v>
      </c>
      <c r="E5" s="14" t="s">
        <v>35</v>
      </c>
      <c r="F5" s="14" t="s">
        <v>36</v>
      </c>
      <c r="G5" s="14" t="s">
        <v>37</v>
      </c>
      <c r="H5" s="14" t="s">
        <v>14</v>
      </c>
      <c r="I5" s="14" t="s">
        <v>38</v>
      </c>
      <c r="J5" s="14" t="s">
        <v>39</v>
      </c>
    </row>
    <row r="6" customFormat="false" ht="21.75" hidden="false" customHeight="true" outlineLevel="0" collapsed="false">
      <c r="A6" s="15" t="s">
        <v>40</v>
      </c>
      <c r="B6" s="15"/>
      <c r="C6" s="15"/>
      <c r="D6" s="15"/>
      <c r="E6" s="15"/>
      <c r="F6" s="15"/>
      <c r="G6" s="15"/>
      <c r="H6" s="15"/>
      <c r="I6" s="15"/>
      <c r="J6" s="15"/>
    </row>
    <row r="7" customFormat="false" ht="66" hidden="false" customHeight="true" outlineLevel="0" collapsed="false">
      <c r="A7" s="16" t="s">
        <v>41</v>
      </c>
      <c r="B7" s="17" t="s">
        <v>42</v>
      </c>
      <c r="C7" s="18" t="s">
        <v>43</v>
      </c>
      <c r="D7" s="19" t="s">
        <v>44</v>
      </c>
      <c r="E7" s="19" t="s">
        <v>45</v>
      </c>
      <c r="F7" s="20"/>
      <c r="G7" s="20"/>
      <c r="H7" s="21" t="s">
        <v>46</v>
      </c>
      <c r="I7" s="22" t="s">
        <v>47</v>
      </c>
      <c r="J7" s="23"/>
    </row>
    <row r="8" customFormat="false" ht="36" hidden="false" customHeight="true" outlineLevel="0" collapsed="false">
      <c r="A8" s="16" t="s">
        <v>48</v>
      </c>
      <c r="B8" s="17" t="s">
        <v>42</v>
      </c>
      <c r="C8" s="18" t="s">
        <v>49</v>
      </c>
      <c r="D8" s="24" t="s">
        <v>50</v>
      </c>
      <c r="E8" s="19" t="s">
        <v>51</v>
      </c>
      <c r="F8" s="20"/>
      <c r="G8" s="20"/>
      <c r="H8" s="21" t="s">
        <v>46</v>
      </c>
      <c r="I8" s="25" t="s">
        <v>52</v>
      </c>
      <c r="J8" s="23"/>
    </row>
    <row r="9" customFormat="false" ht="36" hidden="false" customHeight="true" outlineLevel="0" collapsed="false">
      <c r="A9" s="16" t="s">
        <v>53</v>
      </c>
      <c r="B9" s="17" t="s">
        <v>42</v>
      </c>
      <c r="C9" s="18" t="s">
        <v>54</v>
      </c>
      <c r="D9" s="19" t="s">
        <v>55</v>
      </c>
      <c r="E9" s="19" t="s">
        <v>56</v>
      </c>
      <c r="F9" s="20"/>
      <c r="G9" s="20"/>
      <c r="H9" s="21" t="s">
        <v>46</v>
      </c>
      <c r="I9" s="22" t="s">
        <v>57</v>
      </c>
      <c r="J9" s="23"/>
    </row>
    <row r="10" customFormat="false" ht="36" hidden="false" customHeight="true" outlineLevel="0" collapsed="false">
      <c r="A10" s="16" t="s">
        <v>58</v>
      </c>
      <c r="B10" s="17" t="s">
        <v>42</v>
      </c>
      <c r="C10" s="18" t="s">
        <v>59</v>
      </c>
      <c r="D10" s="19" t="s">
        <v>60</v>
      </c>
      <c r="E10" s="19" t="s">
        <v>61</v>
      </c>
      <c r="F10" s="20"/>
      <c r="G10" s="20"/>
      <c r="H10" s="21" t="s">
        <v>46</v>
      </c>
      <c r="I10" s="22" t="s">
        <v>62</v>
      </c>
      <c r="J10" s="23"/>
    </row>
    <row r="11" customFormat="false" ht="186" hidden="false" customHeight="true" outlineLevel="0" collapsed="false">
      <c r="A11" s="16" t="s">
        <v>63</v>
      </c>
      <c r="B11" s="17" t="s">
        <v>42</v>
      </c>
      <c r="C11" s="18" t="s">
        <v>64</v>
      </c>
      <c r="D11" s="19" t="s">
        <v>65</v>
      </c>
      <c r="E11" s="19" t="s">
        <v>66</v>
      </c>
      <c r="F11" s="20"/>
      <c r="G11" s="20"/>
      <c r="H11" s="21" t="s">
        <v>46</v>
      </c>
      <c r="I11" s="22" t="s">
        <v>67</v>
      </c>
      <c r="J11" s="23" t="s">
        <v>68</v>
      </c>
    </row>
    <row r="12" customFormat="false" ht="36" hidden="false" customHeight="true" outlineLevel="0" collapsed="false">
      <c r="A12" s="16" t="s">
        <v>69</v>
      </c>
      <c r="B12" s="17" t="s">
        <v>42</v>
      </c>
      <c r="C12" s="18" t="s">
        <v>70</v>
      </c>
      <c r="D12" s="19" t="s">
        <v>71</v>
      </c>
      <c r="E12" s="19" t="s">
        <v>72</v>
      </c>
      <c r="F12" s="20"/>
      <c r="G12" s="20"/>
      <c r="H12" s="21" t="s">
        <v>46</v>
      </c>
      <c r="I12" s="22" t="s">
        <v>73</v>
      </c>
      <c r="J12" s="23"/>
    </row>
    <row r="13" customFormat="false" ht="36" hidden="false" customHeight="true" outlineLevel="0" collapsed="false">
      <c r="A13" s="16" t="s">
        <v>74</v>
      </c>
      <c r="B13" s="17" t="s">
        <v>42</v>
      </c>
      <c r="C13" s="18" t="s">
        <v>75</v>
      </c>
      <c r="D13" s="19" t="s">
        <v>76</v>
      </c>
      <c r="E13" s="19" t="s">
        <v>77</v>
      </c>
      <c r="F13" s="20"/>
      <c r="G13" s="20"/>
      <c r="H13" s="21" t="s">
        <v>46</v>
      </c>
      <c r="I13" s="22" t="s">
        <v>78</v>
      </c>
      <c r="J13" s="23"/>
    </row>
    <row r="14" customFormat="false" ht="36" hidden="false" customHeight="true" outlineLevel="0" collapsed="false">
      <c r="A14" s="16" t="s">
        <v>79</v>
      </c>
      <c r="B14" s="17" t="s">
        <v>42</v>
      </c>
      <c r="C14" s="18" t="s">
        <v>80</v>
      </c>
      <c r="D14" s="24" t="s">
        <v>50</v>
      </c>
      <c r="E14" s="19" t="s">
        <v>81</v>
      </c>
      <c r="F14" s="20"/>
      <c r="G14" s="20"/>
      <c r="H14" s="21" t="s">
        <v>46</v>
      </c>
      <c r="I14" s="22" t="s">
        <v>82</v>
      </c>
      <c r="J14" s="23"/>
    </row>
    <row r="15" customFormat="false" ht="21.75" hidden="false" customHeight="true" outlineLevel="0" collapsed="false">
      <c r="A15" s="26" t="s">
        <v>83</v>
      </c>
      <c r="B15" s="26"/>
      <c r="C15" s="26"/>
      <c r="D15" s="26"/>
      <c r="E15" s="26"/>
      <c r="F15" s="26"/>
      <c r="G15" s="26"/>
      <c r="H15" s="26"/>
      <c r="I15" s="26"/>
      <c r="J15" s="26"/>
    </row>
    <row r="16" customFormat="false" ht="126" hidden="false" customHeight="true" outlineLevel="0" collapsed="false">
      <c r="A16" s="16" t="s">
        <v>84</v>
      </c>
      <c r="B16" s="27" t="s">
        <v>85</v>
      </c>
      <c r="C16" s="18" t="s">
        <v>86</v>
      </c>
      <c r="D16" s="19" t="s">
        <v>87</v>
      </c>
      <c r="E16" s="19" t="s">
        <v>88</v>
      </c>
      <c r="F16" s="20"/>
      <c r="G16" s="20"/>
      <c r="H16" s="21" t="s">
        <v>46</v>
      </c>
      <c r="I16" s="22" t="s">
        <v>89</v>
      </c>
      <c r="J16" s="23" t="s">
        <v>90</v>
      </c>
    </row>
    <row r="17" customFormat="false" ht="156" hidden="false" customHeight="true" outlineLevel="0" collapsed="false">
      <c r="A17" s="16" t="s">
        <v>91</v>
      </c>
      <c r="B17" s="27" t="s">
        <v>85</v>
      </c>
      <c r="C17" s="18" t="s">
        <v>92</v>
      </c>
      <c r="D17" s="19" t="s">
        <v>93</v>
      </c>
      <c r="E17" s="19" t="s">
        <v>94</v>
      </c>
      <c r="F17" s="20"/>
      <c r="G17" s="20"/>
      <c r="H17" s="21" t="s">
        <v>46</v>
      </c>
      <c r="I17" s="22" t="s">
        <v>95</v>
      </c>
      <c r="J17" s="23" t="s">
        <v>96</v>
      </c>
    </row>
    <row r="18" customFormat="false" ht="51" hidden="false" customHeight="true" outlineLevel="0" collapsed="false">
      <c r="A18" s="16" t="s">
        <v>97</v>
      </c>
      <c r="B18" s="27" t="s">
        <v>85</v>
      </c>
      <c r="C18" s="18" t="s">
        <v>98</v>
      </c>
      <c r="D18" s="19" t="s">
        <v>99</v>
      </c>
      <c r="E18" s="19" t="s">
        <v>100</v>
      </c>
      <c r="F18" s="20"/>
      <c r="G18" s="20"/>
      <c r="H18" s="21" t="s">
        <v>46</v>
      </c>
      <c r="I18" s="22" t="s">
        <v>101</v>
      </c>
      <c r="J18" s="23"/>
    </row>
    <row r="19" customFormat="false" ht="51" hidden="false" customHeight="true" outlineLevel="0" collapsed="false">
      <c r="A19" s="16" t="s">
        <v>102</v>
      </c>
      <c r="B19" s="27" t="s">
        <v>85</v>
      </c>
      <c r="C19" s="18" t="s">
        <v>103</v>
      </c>
      <c r="D19" s="24" t="s">
        <v>104</v>
      </c>
      <c r="E19" s="19" t="s">
        <v>105</v>
      </c>
      <c r="F19" s="20"/>
      <c r="G19" s="20"/>
      <c r="H19" s="21" t="s">
        <v>46</v>
      </c>
      <c r="I19" s="22" t="s">
        <v>106</v>
      </c>
      <c r="J19" s="23"/>
    </row>
    <row r="20" customFormat="false" ht="51" hidden="false" customHeight="true" outlineLevel="0" collapsed="false">
      <c r="A20" s="16" t="s">
        <v>107</v>
      </c>
      <c r="B20" s="27" t="s">
        <v>85</v>
      </c>
      <c r="C20" s="18" t="s">
        <v>108</v>
      </c>
      <c r="D20" s="24" t="s">
        <v>109</v>
      </c>
      <c r="E20" s="19" t="s">
        <v>110</v>
      </c>
      <c r="F20" s="20"/>
      <c r="G20" s="20"/>
      <c r="H20" s="21" t="s">
        <v>46</v>
      </c>
      <c r="I20" s="22" t="s">
        <v>111</v>
      </c>
      <c r="J20" s="23"/>
    </row>
    <row r="21" customFormat="false" ht="36" hidden="false" customHeight="true" outlineLevel="0" collapsed="false">
      <c r="A21" s="16" t="s">
        <v>112</v>
      </c>
      <c r="B21" s="27" t="s">
        <v>85</v>
      </c>
      <c r="C21" s="18" t="s">
        <v>113</v>
      </c>
      <c r="D21" s="24" t="s">
        <v>50</v>
      </c>
      <c r="E21" s="19" t="s">
        <v>114</v>
      </c>
      <c r="F21" s="20"/>
      <c r="G21" s="20"/>
      <c r="H21" s="21" t="s">
        <v>46</v>
      </c>
      <c r="I21" s="22" t="s">
        <v>115</v>
      </c>
      <c r="J21" s="23"/>
    </row>
    <row r="22" customFormat="false" ht="21.75" hidden="false" customHeight="true" outlineLevel="0" collapsed="false">
      <c r="A22" s="28" t="s">
        <v>116</v>
      </c>
      <c r="B22" s="28"/>
      <c r="C22" s="28"/>
      <c r="D22" s="28"/>
      <c r="E22" s="28"/>
      <c r="F22" s="28"/>
      <c r="G22" s="28"/>
      <c r="H22" s="28"/>
      <c r="I22" s="28"/>
      <c r="J22" s="28"/>
    </row>
    <row r="23" customFormat="false" ht="36" hidden="false" customHeight="true" outlineLevel="0" collapsed="false">
      <c r="A23" s="16" t="s">
        <v>117</v>
      </c>
      <c r="B23" s="29" t="s">
        <v>118</v>
      </c>
      <c r="C23" s="18" t="s">
        <v>119</v>
      </c>
      <c r="D23" s="24" t="s">
        <v>50</v>
      </c>
      <c r="E23" s="19" t="s">
        <v>120</v>
      </c>
      <c r="F23" s="20"/>
      <c r="G23" s="20"/>
      <c r="H23" s="21" t="s">
        <v>46</v>
      </c>
      <c r="I23" s="25" t="s">
        <v>121</v>
      </c>
      <c r="J23" s="23"/>
    </row>
    <row r="24" customFormat="false" ht="36" hidden="false" customHeight="true" outlineLevel="0" collapsed="false">
      <c r="A24" s="16" t="s">
        <v>122</v>
      </c>
      <c r="B24" s="29" t="s">
        <v>118</v>
      </c>
      <c r="C24" s="18" t="s">
        <v>123</v>
      </c>
      <c r="D24" s="19" t="s">
        <v>124</v>
      </c>
      <c r="E24" s="19" t="s">
        <v>125</v>
      </c>
      <c r="F24" s="20"/>
      <c r="G24" s="20"/>
      <c r="H24" s="21" t="s">
        <v>46</v>
      </c>
      <c r="I24" s="22" t="s">
        <v>126</v>
      </c>
      <c r="J24" s="23"/>
    </row>
    <row r="25" customFormat="false" ht="36" hidden="false" customHeight="true" outlineLevel="0" collapsed="false">
      <c r="A25" s="16" t="s">
        <v>127</v>
      </c>
      <c r="B25" s="29" t="s">
        <v>118</v>
      </c>
      <c r="C25" s="18" t="s">
        <v>128</v>
      </c>
      <c r="D25" s="19" t="s">
        <v>129</v>
      </c>
      <c r="E25" s="19" t="s">
        <v>130</v>
      </c>
      <c r="F25" s="20"/>
      <c r="G25" s="20"/>
      <c r="H25" s="21" t="s">
        <v>46</v>
      </c>
      <c r="I25" s="22" t="s">
        <v>131</v>
      </c>
      <c r="J25" s="23"/>
    </row>
    <row r="26" customFormat="false" ht="36" hidden="false" customHeight="true" outlineLevel="0" collapsed="false">
      <c r="A26" s="16" t="s">
        <v>132</v>
      </c>
      <c r="B26" s="29" t="s">
        <v>118</v>
      </c>
      <c r="C26" s="18" t="s">
        <v>133</v>
      </c>
      <c r="D26" s="19" t="s">
        <v>134</v>
      </c>
      <c r="E26" s="19" t="s">
        <v>135</v>
      </c>
      <c r="F26" s="20"/>
      <c r="G26" s="20"/>
      <c r="H26" s="21" t="s">
        <v>46</v>
      </c>
      <c r="I26" s="22" t="s">
        <v>136</v>
      </c>
      <c r="J26" s="23"/>
    </row>
    <row r="27" customFormat="false" ht="36" hidden="false" customHeight="true" outlineLevel="0" collapsed="false">
      <c r="A27" s="16" t="s">
        <v>137</v>
      </c>
      <c r="B27" s="29" t="s">
        <v>118</v>
      </c>
      <c r="C27" s="18" t="s">
        <v>138</v>
      </c>
      <c r="D27" s="24" t="s">
        <v>50</v>
      </c>
      <c r="E27" s="19" t="s">
        <v>139</v>
      </c>
      <c r="F27" s="20"/>
      <c r="G27" s="20"/>
      <c r="H27" s="21" t="s">
        <v>46</v>
      </c>
      <c r="I27" s="22" t="s">
        <v>140</v>
      </c>
      <c r="J27" s="23"/>
    </row>
    <row r="28" customFormat="false" ht="36" hidden="false" customHeight="true" outlineLevel="0" collapsed="false">
      <c r="A28" s="16" t="s">
        <v>141</v>
      </c>
      <c r="B28" s="29" t="s">
        <v>118</v>
      </c>
      <c r="C28" s="18" t="s">
        <v>142</v>
      </c>
      <c r="D28" s="24" t="s">
        <v>50</v>
      </c>
      <c r="E28" s="19" t="s">
        <v>143</v>
      </c>
      <c r="F28" s="20"/>
      <c r="G28" s="20"/>
      <c r="H28" s="21" t="s">
        <v>46</v>
      </c>
      <c r="I28" s="22" t="s">
        <v>144</v>
      </c>
      <c r="J28" s="23"/>
    </row>
    <row r="29" customFormat="false" ht="21.75" hidden="false" customHeight="true" outlineLevel="0" collapsed="false">
      <c r="A29" s="30" t="s">
        <v>145</v>
      </c>
      <c r="B29" s="30"/>
      <c r="C29" s="30"/>
      <c r="D29" s="30"/>
      <c r="E29" s="30"/>
      <c r="F29" s="30"/>
      <c r="G29" s="30"/>
      <c r="H29" s="30"/>
      <c r="I29" s="30"/>
      <c r="J29" s="30"/>
    </row>
    <row r="30" customFormat="false" ht="51" hidden="false" customHeight="true" outlineLevel="0" collapsed="false">
      <c r="A30" s="16" t="s">
        <v>146</v>
      </c>
      <c r="B30" s="31" t="s">
        <v>147</v>
      </c>
      <c r="C30" s="18" t="s">
        <v>148</v>
      </c>
      <c r="D30" s="19" t="s">
        <v>149</v>
      </c>
      <c r="E30" s="19" t="s">
        <v>150</v>
      </c>
      <c r="F30" s="20"/>
      <c r="G30" s="20"/>
      <c r="H30" s="21" t="s">
        <v>46</v>
      </c>
      <c r="I30" s="22" t="s">
        <v>151</v>
      </c>
      <c r="J30" s="23" t="s">
        <v>152</v>
      </c>
    </row>
    <row r="31" customFormat="false" ht="216" hidden="false" customHeight="true" outlineLevel="0" collapsed="false">
      <c r="A31" s="16" t="s">
        <v>153</v>
      </c>
      <c r="B31" s="31" t="s">
        <v>147</v>
      </c>
      <c r="C31" s="18" t="s">
        <v>154</v>
      </c>
      <c r="D31" s="19" t="s">
        <v>155</v>
      </c>
      <c r="E31" s="19" t="s">
        <v>156</v>
      </c>
      <c r="F31" s="20"/>
      <c r="G31" s="20"/>
      <c r="H31" s="21" t="s">
        <v>46</v>
      </c>
      <c r="I31" s="22" t="s">
        <v>157</v>
      </c>
      <c r="J31" s="23" t="s">
        <v>158</v>
      </c>
    </row>
    <row r="32" customFormat="false" ht="36" hidden="false" customHeight="true" outlineLevel="0" collapsed="false">
      <c r="A32" s="16" t="s">
        <v>159</v>
      </c>
      <c r="B32" s="31" t="s">
        <v>147</v>
      </c>
      <c r="C32" s="18" t="s">
        <v>160</v>
      </c>
      <c r="D32" s="19" t="s">
        <v>161</v>
      </c>
      <c r="E32" s="19" t="s">
        <v>162</v>
      </c>
      <c r="F32" s="20"/>
      <c r="G32" s="20"/>
      <c r="H32" s="21" t="s">
        <v>46</v>
      </c>
      <c r="I32" s="22" t="s">
        <v>163</v>
      </c>
      <c r="J32" s="23"/>
    </row>
    <row r="33" customFormat="false" ht="126" hidden="false" customHeight="true" outlineLevel="0" collapsed="false">
      <c r="A33" s="16" t="s">
        <v>164</v>
      </c>
      <c r="B33" s="31" t="s">
        <v>147</v>
      </c>
      <c r="C33" s="18" t="s">
        <v>165</v>
      </c>
      <c r="D33" s="19" t="s">
        <v>166</v>
      </c>
      <c r="E33" s="19" t="s">
        <v>167</v>
      </c>
      <c r="F33" s="20"/>
      <c r="G33" s="20"/>
      <c r="H33" s="21" t="s">
        <v>46</v>
      </c>
      <c r="I33" s="22" t="s">
        <v>168</v>
      </c>
      <c r="J33" s="23" t="s">
        <v>169</v>
      </c>
    </row>
    <row r="34" customFormat="false" ht="141" hidden="false" customHeight="true" outlineLevel="0" collapsed="false">
      <c r="A34" s="16" t="s">
        <v>170</v>
      </c>
      <c r="B34" s="31" t="s">
        <v>147</v>
      </c>
      <c r="C34" s="18" t="s">
        <v>171</v>
      </c>
      <c r="D34" s="19" t="s">
        <v>172</v>
      </c>
      <c r="E34" s="19" t="s">
        <v>173</v>
      </c>
      <c r="F34" s="20"/>
      <c r="G34" s="20"/>
      <c r="H34" s="21" t="s">
        <v>46</v>
      </c>
      <c r="I34" s="22" t="s">
        <v>174</v>
      </c>
      <c r="J34" s="23" t="s">
        <v>175</v>
      </c>
    </row>
    <row r="35" customFormat="false" ht="66" hidden="false" customHeight="true" outlineLevel="0" collapsed="false">
      <c r="A35" s="16" t="s">
        <v>176</v>
      </c>
      <c r="B35" s="31" t="s">
        <v>147</v>
      </c>
      <c r="C35" s="18" t="s">
        <v>177</v>
      </c>
      <c r="D35" s="19" t="s">
        <v>178</v>
      </c>
      <c r="E35" s="19" t="s">
        <v>179</v>
      </c>
      <c r="F35" s="20"/>
      <c r="G35" s="20"/>
      <c r="H35" s="21" t="s">
        <v>46</v>
      </c>
      <c r="I35" s="22" t="s">
        <v>180</v>
      </c>
      <c r="J35" s="23" t="s">
        <v>181</v>
      </c>
    </row>
    <row r="36" customFormat="false" ht="36" hidden="false" customHeight="true" outlineLevel="0" collapsed="false">
      <c r="A36" s="16" t="s">
        <v>182</v>
      </c>
      <c r="B36" s="31" t="s">
        <v>147</v>
      </c>
      <c r="C36" s="18" t="s">
        <v>183</v>
      </c>
      <c r="D36" s="24" t="s">
        <v>50</v>
      </c>
      <c r="E36" s="19" t="s">
        <v>184</v>
      </c>
      <c r="F36" s="20"/>
      <c r="G36" s="20"/>
      <c r="H36" s="21" t="s">
        <v>46</v>
      </c>
      <c r="I36" s="22" t="s">
        <v>185</v>
      </c>
      <c r="J36" s="23"/>
    </row>
    <row r="37" customFormat="false" ht="111" hidden="false" customHeight="true" outlineLevel="0" collapsed="false">
      <c r="A37" s="16" t="s">
        <v>186</v>
      </c>
      <c r="B37" s="31" t="s">
        <v>147</v>
      </c>
      <c r="C37" s="18" t="s">
        <v>187</v>
      </c>
      <c r="D37" s="19" t="s">
        <v>188</v>
      </c>
      <c r="E37" s="19" t="s">
        <v>189</v>
      </c>
      <c r="F37" s="20"/>
      <c r="G37" s="20"/>
      <c r="H37" s="21" t="s">
        <v>46</v>
      </c>
      <c r="I37" s="22" t="s">
        <v>190</v>
      </c>
      <c r="J37" s="23" t="s">
        <v>191</v>
      </c>
    </row>
    <row r="38" customFormat="false" ht="51" hidden="false" customHeight="true" outlineLevel="0" collapsed="false">
      <c r="A38" s="16" t="s">
        <v>192</v>
      </c>
      <c r="B38" s="31" t="s">
        <v>147</v>
      </c>
      <c r="C38" s="18" t="s">
        <v>193</v>
      </c>
      <c r="D38" s="24" t="s">
        <v>50</v>
      </c>
      <c r="E38" s="19" t="s">
        <v>194</v>
      </c>
      <c r="F38" s="20"/>
      <c r="G38" s="20"/>
      <c r="H38" s="21" t="s">
        <v>46</v>
      </c>
      <c r="I38" s="22" t="s">
        <v>195</v>
      </c>
      <c r="J38" s="23"/>
    </row>
    <row r="39" customFormat="false" ht="36" hidden="false" customHeight="true" outlineLevel="0" collapsed="false">
      <c r="A39" s="16" t="s">
        <v>196</v>
      </c>
      <c r="B39" s="31" t="s">
        <v>147</v>
      </c>
      <c r="C39" s="18" t="s">
        <v>197</v>
      </c>
      <c r="D39" s="24" t="s">
        <v>198</v>
      </c>
      <c r="E39" s="19" t="s">
        <v>199</v>
      </c>
      <c r="F39" s="20"/>
      <c r="G39" s="20"/>
      <c r="H39" s="21" t="s">
        <v>46</v>
      </c>
      <c r="I39" s="22" t="s">
        <v>200</v>
      </c>
      <c r="J39" s="23"/>
    </row>
    <row r="40" customFormat="false" ht="96" hidden="false" customHeight="true" outlineLevel="0" collapsed="false">
      <c r="A40" s="16" t="s">
        <v>201</v>
      </c>
      <c r="B40" s="31" t="s">
        <v>147</v>
      </c>
      <c r="C40" s="18" t="s">
        <v>202</v>
      </c>
      <c r="D40" s="19" t="s">
        <v>203</v>
      </c>
      <c r="E40" s="19" t="s">
        <v>204</v>
      </c>
      <c r="F40" s="20"/>
      <c r="G40" s="20"/>
      <c r="H40" s="21" t="s">
        <v>46</v>
      </c>
      <c r="I40" s="22" t="s">
        <v>205</v>
      </c>
      <c r="J40" s="23" t="s">
        <v>206</v>
      </c>
    </row>
    <row r="41" customFormat="false" ht="36" hidden="false" customHeight="true" outlineLevel="0" collapsed="false">
      <c r="A41" s="16" t="s">
        <v>207</v>
      </c>
      <c r="B41" s="31" t="s">
        <v>147</v>
      </c>
      <c r="C41" s="18" t="s">
        <v>208</v>
      </c>
      <c r="D41" s="24" t="s">
        <v>50</v>
      </c>
      <c r="E41" s="19" t="s">
        <v>209</v>
      </c>
      <c r="F41" s="20"/>
      <c r="G41" s="20"/>
      <c r="H41" s="21" t="s">
        <v>46</v>
      </c>
      <c r="I41" s="22" t="s">
        <v>210</v>
      </c>
      <c r="J41" s="23"/>
    </row>
    <row r="42" customFormat="false" ht="51" hidden="false" customHeight="true" outlineLevel="0" collapsed="false">
      <c r="A42" s="16" t="s">
        <v>211</v>
      </c>
      <c r="B42" s="31" t="s">
        <v>147</v>
      </c>
      <c r="C42" s="18" t="s">
        <v>212</v>
      </c>
      <c r="D42" s="19" t="s">
        <v>213</v>
      </c>
      <c r="E42" s="19" t="s">
        <v>214</v>
      </c>
      <c r="F42" s="20"/>
      <c r="G42" s="20"/>
      <c r="H42" s="21" t="s">
        <v>46</v>
      </c>
      <c r="I42" s="22" t="s">
        <v>215</v>
      </c>
      <c r="J42" s="23" t="s">
        <v>216</v>
      </c>
    </row>
    <row r="43" customFormat="false" ht="21.75" hidden="false" customHeight="true" outlineLevel="0" collapsed="false">
      <c r="A43" s="32" t="s">
        <v>217</v>
      </c>
      <c r="B43" s="32"/>
      <c r="C43" s="32"/>
      <c r="D43" s="32"/>
      <c r="E43" s="32"/>
      <c r="F43" s="32"/>
      <c r="G43" s="32"/>
      <c r="H43" s="32"/>
      <c r="I43" s="32"/>
      <c r="J43" s="32"/>
    </row>
    <row r="44" customFormat="false" ht="96" hidden="false" customHeight="true" outlineLevel="0" collapsed="false">
      <c r="A44" s="16" t="s">
        <v>218</v>
      </c>
      <c r="B44" s="33" t="s">
        <v>219</v>
      </c>
      <c r="C44" s="18" t="s">
        <v>220</v>
      </c>
      <c r="D44" s="19" t="s">
        <v>221</v>
      </c>
      <c r="E44" s="19" t="s">
        <v>222</v>
      </c>
      <c r="F44" s="20"/>
      <c r="G44" s="20"/>
      <c r="H44" s="21" t="s">
        <v>46</v>
      </c>
      <c r="I44" s="22" t="s">
        <v>223</v>
      </c>
      <c r="J44" s="23" t="s">
        <v>224</v>
      </c>
    </row>
    <row r="45" customFormat="false" ht="66" hidden="false" customHeight="true" outlineLevel="0" collapsed="false">
      <c r="A45" s="16" t="s">
        <v>225</v>
      </c>
      <c r="B45" s="33" t="s">
        <v>219</v>
      </c>
      <c r="C45" s="18" t="s">
        <v>226</v>
      </c>
      <c r="D45" s="24" t="s">
        <v>50</v>
      </c>
      <c r="E45" s="19" t="s">
        <v>227</v>
      </c>
      <c r="F45" s="20"/>
      <c r="G45" s="20"/>
      <c r="H45" s="21" t="s">
        <v>46</v>
      </c>
      <c r="I45" s="22" t="s">
        <v>228</v>
      </c>
      <c r="J45" s="23" t="s">
        <v>229</v>
      </c>
    </row>
    <row r="46" customFormat="false" ht="51" hidden="false" customHeight="true" outlineLevel="0" collapsed="false">
      <c r="A46" s="16" t="s">
        <v>230</v>
      </c>
      <c r="B46" s="33" t="s">
        <v>219</v>
      </c>
      <c r="C46" s="18" t="s">
        <v>231</v>
      </c>
      <c r="D46" s="24" t="s">
        <v>232</v>
      </c>
      <c r="E46" s="19" t="s">
        <v>233</v>
      </c>
      <c r="F46" s="20"/>
      <c r="G46" s="20"/>
      <c r="H46" s="21" t="s">
        <v>46</v>
      </c>
      <c r="I46" s="22" t="s">
        <v>234</v>
      </c>
      <c r="J46" s="23"/>
    </row>
    <row r="47" customFormat="false" ht="141" hidden="false" customHeight="true" outlineLevel="0" collapsed="false">
      <c r="A47" s="16" t="s">
        <v>235</v>
      </c>
      <c r="B47" s="33" t="s">
        <v>219</v>
      </c>
      <c r="C47" s="18" t="s">
        <v>236</v>
      </c>
      <c r="D47" s="19" t="s">
        <v>237</v>
      </c>
      <c r="E47" s="19" t="s">
        <v>238</v>
      </c>
      <c r="F47" s="20"/>
      <c r="G47" s="20"/>
      <c r="H47" s="21" t="s">
        <v>46</v>
      </c>
      <c r="I47" s="22" t="s">
        <v>239</v>
      </c>
      <c r="J47" s="23" t="s">
        <v>240</v>
      </c>
    </row>
    <row r="48" customFormat="false" ht="141" hidden="false" customHeight="true" outlineLevel="0" collapsed="false">
      <c r="A48" s="16" t="s">
        <v>241</v>
      </c>
      <c r="B48" s="33" t="s">
        <v>219</v>
      </c>
      <c r="C48" s="18" t="s">
        <v>242</v>
      </c>
      <c r="D48" s="19" t="s">
        <v>243</v>
      </c>
      <c r="E48" s="19" t="s">
        <v>244</v>
      </c>
      <c r="F48" s="20"/>
      <c r="G48" s="20"/>
      <c r="H48" s="21" t="s">
        <v>46</v>
      </c>
      <c r="I48" s="22" t="s">
        <v>245</v>
      </c>
      <c r="J48" s="23" t="s">
        <v>246</v>
      </c>
    </row>
    <row r="49" customFormat="false" ht="36" hidden="false" customHeight="true" outlineLevel="0" collapsed="false">
      <c r="A49" s="16" t="s">
        <v>247</v>
      </c>
      <c r="B49" s="33" t="s">
        <v>219</v>
      </c>
      <c r="C49" s="18" t="s">
        <v>248</v>
      </c>
      <c r="D49" s="19" t="s">
        <v>249</v>
      </c>
      <c r="E49" s="19" t="s">
        <v>250</v>
      </c>
      <c r="F49" s="20"/>
      <c r="G49" s="20"/>
      <c r="H49" s="21" t="s">
        <v>46</v>
      </c>
      <c r="I49" s="22" t="s">
        <v>251</v>
      </c>
      <c r="J49" s="23"/>
    </row>
    <row r="50" customFormat="false" ht="81" hidden="false" customHeight="true" outlineLevel="0" collapsed="false">
      <c r="A50" s="16" t="s">
        <v>252</v>
      </c>
      <c r="B50" s="33" t="s">
        <v>219</v>
      </c>
      <c r="C50" s="18" t="s">
        <v>253</v>
      </c>
      <c r="D50" s="19" t="s">
        <v>254</v>
      </c>
      <c r="E50" s="19" t="s">
        <v>255</v>
      </c>
      <c r="F50" s="20"/>
      <c r="G50" s="20"/>
      <c r="H50" s="21" t="s">
        <v>46</v>
      </c>
      <c r="I50" s="22" t="s">
        <v>256</v>
      </c>
      <c r="J50" s="23" t="s">
        <v>257</v>
      </c>
    </row>
    <row r="51" customFormat="false" ht="36" hidden="false" customHeight="true" outlineLevel="0" collapsed="false">
      <c r="A51" s="16" t="s">
        <v>258</v>
      </c>
      <c r="B51" s="33" t="s">
        <v>219</v>
      </c>
      <c r="C51" s="18" t="s">
        <v>259</v>
      </c>
      <c r="D51" s="24" t="s">
        <v>50</v>
      </c>
      <c r="E51" s="19" t="s">
        <v>260</v>
      </c>
      <c r="F51" s="20"/>
      <c r="G51" s="20"/>
      <c r="H51" s="21" t="s">
        <v>46</v>
      </c>
      <c r="I51" s="22" t="s">
        <v>261</v>
      </c>
      <c r="J51" s="23"/>
    </row>
    <row r="52" customFormat="false" ht="36" hidden="false" customHeight="true" outlineLevel="0" collapsed="false">
      <c r="A52" s="16" t="s">
        <v>262</v>
      </c>
      <c r="B52" s="33" t="s">
        <v>219</v>
      </c>
      <c r="C52" s="18" t="s">
        <v>263</v>
      </c>
      <c r="D52" s="24" t="s">
        <v>50</v>
      </c>
      <c r="E52" s="19" t="s">
        <v>264</v>
      </c>
      <c r="F52" s="20"/>
      <c r="G52" s="20"/>
      <c r="H52" s="21" t="s">
        <v>46</v>
      </c>
      <c r="I52" s="22" t="s">
        <v>265</v>
      </c>
      <c r="J52" s="23"/>
    </row>
    <row r="53" customFormat="false" ht="21.75" hidden="false" customHeight="true" outlineLevel="0" collapsed="false">
      <c r="A53" s="34" t="s">
        <v>266</v>
      </c>
      <c r="B53" s="34"/>
      <c r="C53" s="34"/>
      <c r="D53" s="34"/>
      <c r="E53" s="34"/>
      <c r="F53" s="34"/>
      <c r="G53" s="34"/>
      <c r="H53" s="34"/>
      <c r="I53" s="34"/>
      <c r="J53" s="34"/>
    </row>
    <row r="54" customFormat="false" ht="36" hidden="false" customHeight="true" outlineLevel="0" collapsed="false">
      <c r="A54" s="16" t="s">
        <v>267</v>
      </c>
      <c r="B54" s="35" t="s">
        <v>268</v>
      </c>
      <c r="C54" s="18" t="s">
        <v>269</v>
      </c>
      <c r="D54" s="24" t="s">
        <v>50</v>
      </c>
      <c r="E54" s="19" t="s">
        <v>270</v>
      </c>
      <c r="F54" s="20"/>
      <c r="G54" s="20"/>
      <c r="H54" s="21" t="s">
        <v>46</v>
      </c>
      <c r="I54" s="22" t="s">
        <v>271</v>
      </c>
      <c r="J54" s="23"/>
    </row>
    <row r="55" customFormat="false" ht="36" hidden="false" customHeight="true" outlineLevel="0" collapsed="false">
      <c r="A55" s="16" t="s">
        <v>272</v>
      </c>
      <c r="B55" s="35" t="s">
        <v>268</v>
      </c>
      <c r="C55" s="18" t="s">
        <v>273</v>
      </c>
      <c r="D55" s="24" t="s">
        <v>50</v>
      </c>
      <c r="E55" s="19" t="s">
        <v>274</v>
      </c>
      <c r="F55" s="20"/>
      <c r="G55" s="20"/>
      <c r="H55" s="21" t="s">
        <v>46</v>
      </c>
      <c r="I55" s="22" t="s">
        <v>275</v>
      </c>
      <c r="J55" s="23"/>
    </row>
    <row r="56" customFormat="false" ht="36" hidden="false" customHeight="true" outlineLevel="0" collapsed="false">
      <c r="A56" s="16" t="s">
        <v>276</v>
      </c>
      <c r="B56" s="35" t="s">
        <v>268</v>
      </c>
      <c r="C56" s="18" t="s">
        <v>277</v>
      </c>
      <c r="D56" s="19" t="s">
        <v>278</v>
      </c>
      <c r="E56" s="19" t="s">
        <v>279</v>
      </c>
      <c r="F56" s="20"/>
      <c r="G56" s="20"/>
      <c r="H56" s="21" t="s">
        <v>46</v>
      </c>
      <c r="I56" s="22" t="s">
        <v>280</v>
      </c>
      <c r="J56" s="23"/>
    </row>
    <row r="57" customFormat="false" ht="36" hidden="false" customHeight="true" outlineLevel="0" collapsed="false">
      <c r="A57" s="16" t="s">
        <v>281</v>
      </c>
      <c r="B57" s="35" t="s">
        <v>268</v>
      </c>
      <c r="C57" s="18" t="s">
        <v>282</v>
      </c>
      <c r="D57" s="19" t="s">
        <v>283</v>
      </c>
      <c r="E57" s="19" t="s">
        <v>284</v>
      </c>
      <c r="F57" s="20"/>
      <c r="G57" s="20"/>
      <c r="H57" s="21" t="s">
        <v>46</v>
      </c>
      <c r="I57" s="22" t="s">
        <v>285</v>
      </c>
      <c r="J57" s="23" t="s">
        <v>286</v>
      </c>
    </row>
    <row r="58" customFormat="false" ht="66" hidden="false" customHeight="true" outlineLevel="0" collapsed="false">
      <c r="A58" s="16" t="s">
        <v>287</v>
      </c>
      <c r="B58" s="35" t="s">
        <v>268</v>
      </c>
      <c r="C58" s="18" t="s">
        <v>288</v>
      </c>
      <c r="D58" s="24" t="s">
        <v>289</v>
      </c>
      <c r="E58" s="19" t="s">
        <v>290</v>
      </c>
      <c r="F58" s="20"/>
      <c r="G58" s="20"/>
      <c r="H58" s="21" t="s">
        <v>46</v>
      </c>
      <c r="I58" s="22" t="s">
        <v>291</v>
      </c>
      <c r="J58" s="23" t="s">
        <v>292</v>
      </c>
    </row>
    <row r="59" customFormat="false" ht="36" hidden="false" customHeight="true" outlineLevel="0" collapsed="false">
      <c r="A59" s="16" t="s">
        <v>293</v>
      </c>
      <c r="B59" s="35" t="s">
        <v>268</v>
      </c>
      <c r="C59" s="18" t="s">
        <v>294</v>
      </c>
      <c r="D59" s="24" t="s">
        <v>295</v>
      </c>
      <c r="E59" s="24" t="s">
        <v>296</v>
      </c>
      <c r="F59" s="20"/>
      <c r="G59" s="20"/>
      <c r="H59" s="21" t="s">
        <v>46</v>
      </c>
      <c r="I59" s="22" t="s">
        <v>297</v>
      </c>
      <c r="J59" s="23"/>
    </row>
    <row r="60" customFormat="false" ht="126" hidden="false" customHeight="true" outlineLevel="0" collapsed="false">
      <c r="A60" s="16" t="s">
        <v>298</v>
      </c>
      <c r="B60" s="35" t="s">
        <v>268</v>
      </c>
      <c r="C60" s="18" t="s">
        <v>299</v>
      </c>
      <c r="D60" s="19" t="s">
        <v>300</v>
      </c>
      <c r="E60" s="19" t="s">
        <v>301</v>
      </c>
      <c r="F60" s="20"/>
      <c r="G60" s="20"/>
      <c r="H60" s="21" t="s">
        <v>46</v>
      </c>
      <c r="I60" s="22" t="s">
        <v>302</v>
      </c>
      <c r="J60" s="23" t="s">
        <v>303</v>
      </c>
    </row>
    <row r="61" customFormat="false" ht="21.75" hidden="false" customHeight="true" outlineLevel="0" collapsed="false">
      <c r="A61" s="36" t="s">
        <v>304</v>
      </c>
      <c r="B61" s="36"/>
      <c r="C61" s="36"/>
      <c r="D61" s="36"/>
      <c r="E61" s="36"/>
      <c r="F61" s="36"/>
      <c r="G61" s="36"/>
      <c r="H61" s="36"/>
      <c r="I61" s="36"/>
      <c r="J61" s="36"/>
    </row>
    <row r="62" customFormat="false" ht="36" hidden="false" customHeight="true" outlineLevel="0" collapsed="false">
      <c r="A62" s="16" t="s">
        <v>305</v>
      </c>
      <c r="B62" s="37" t="s">
        <v>306</v>
      </c>
      <c r="C62" s="18" t="s">
        <v>307</v>
      </c>
      <c r="D62" s="24" t="s">
        <v>50</v>
      </c>
      <c r="E62" s="19" t="s">
        <v>308</v>
      </c>
      <c r="F62" s="20"/>
      <c r="G62" s="20"/>
      <c r="H62" s="21" t="s">
        <v>46</v>
      </c>
      <c r="I62" s="22" t="s">
        <v>309</v>
      </c>
      <c r="J62" s="23"/>
    </row>
    <row r="63" customFormat="false" ht="36" hidden="false" customHeight="true" outlineLevel="0" collapsed="false">
      <c r="A63" s="16" t="s">
        <v>310</v>
      </c>
      <c r="B63" s="37" t="s">
        <v>306</v>
      </c>
      <c r="C63" s="18" t="s">
        <v>311</v>
      </c>
      <c r="D63" s="19" t="s">
        <v>312</v>
      </c>
      <c r="E63" s="19" t="s">
        <v>313</v>
      </c>
      <c r="F63" s="20"/>
      <c r="G63" s="20"/>
      <c r="H63" s="21" t="s">
        <v>46</v>
      </c>
      <c r="I63" s="22" t="s">
        <v>314</v>
      </c>
      <c r="J63" s="23"/>
    </row>
    <row r="64" customFormat="false" ht="36" hidden="false" customHeight="true" outlineLevel="0" collapsed="false">
      <c r="A64" s="16" t="s">
        <v>315</v>
      </c>
      <c r="B64" s="37" t="s">
        <v>306</v>
      </c>
      <c r="C64" s="18" t="s">
        <v>316</v>
      </c>
      <c r="D64" s="19" t="s">
        <v>317</v>
      </c>
      <c r="E64" s="19" t="s">
        <v>318</v>
      </c>
      <c r="F64" s="20"/>
      <c r="G64" s="20"/>
      <c r="H64" s="21" t="s">
        <v>46</v>
      </c>
      <c r="I64" s="22" t="s">
        <v>319</v>
      </c>
      <c r="J64" s="23"/>
    </row>
    <row r="65" customFormat="false" ht="36" hidden="false" customHeight="true" outlineLevel="0" collapsed="false">
      <c r="A65" s="16" t="s">
        <v>320</v>
      </c>
      <c r="B65" s="37" t="s">
        <v>306</v>
      </c>
      <c r="C65" s="18" t="s">
        <v>321</v>
      </c>
      <c r="D65" s="24" t="s">
        <v>50</v>
      </c>
      <c r="E65" s="19" t="s">
        <v>322</v>
      </c>
      <c r="F65" s="20"/>
      <c r="G65" s="20"/>
      <c r="H65" s="21" t="s">
        <v>46</v>
      </c>
      <c r="I65" s="22" t="s">
        <v>323</v>
      </c>
      <c r="J65" s="23"/>
    </row>
    <row r="66" customFormat="false" ht="51" hidden="false" customHeight="true" outlineLevel="0" collapsed="false">
      <c r="A66" s="16" t="s">
        <v>324</v>
      </c>
      <c r="B66" s="37" t="s">
        <v>306</v>
      </c>
      <c r="C66" s="18" t="s">
        <v>325</v>
      </c>
      <c r="D66" s="19" t="s">
        <v>326</v>
      </c>
      <c r="E66" s="19" t="s">
        <v>327</v>
      </c>
      <c r="F66" s="20"/>
      <c r="G66" s="20"/>
      <c r="H66" s="21" t="s">
        <v>46</v>
      </c>
      <c r="I66" s="22" t="s">
        <v>297</v>
      </c>
      <c r="J66" s="23"/>
    </row>
    <row r="67" customFormat="false" ht="36" hidden="false" customHeight="true" outlineLevel="0" collapsed="false">
      <c r="A67" s="16" t="s">
        <v>328</v>
      </c>
      <c r="B67" s="37" t="s">
        <v>306</v>
      </c>
      <c r="C67" s="18" t="s">
        <v>329</v>
      </c>
      <c r="D67" s="24" t="s">
        <v>50</v>
      </c>
      <c r="E67" s="19" t="s">
        <v>330</v>
      </c>
      <c r="F67" s="20"/>
      <c r="G67" s="20"/>
      <c r="H67" s="21" t="s">
        <v>46</v>
      </c>
      <c r="I67" s="22" t="s">
        <v>331</v>
      </c>
      <c r="J67" s="23"/>
    </row>
    <row r="68" customFormat="false" ht="36" hidden="false" customHeight="true" outlineLevel="0" collapsed="false">
      <c r="A68" s="16" t="s">
        <v>332</v>
      </c>
      <c r="B68" s="37" t="s">
        <v>306</v>
      </c>
      <c r="C68" s="18" t="s">
        <v>333</v>
      </c>
      <c r="D68" s="19" t="s">
        <v>334</v>
      </c>
      <c r="E68" s="19" t="s">
        <v>335</v>
      </c>
      <c r="F68" s="20"/>
      <c r="G68" s="20"/>
      <c r="H68" s="21" t="s">
        <v>46</v>
      </c>
      <c r="I68" s="22" t="s">
        <v>336</v>
      </c>
      <c r="J68" s="23"/>
    </row>
    <row r="69" customFormat="false" ht="21.75" hidden="false" customHeight="true" outlineLevel="0" collapsed="false">
      <c r="A69" s="38" t="s">
        <v>337</v>
      </c>
      <c r="B69" s="38"/>
      <c r="C69" s="38"/>
      <c r="D69" s="38"/>
      <c r="E69" s="38"/>
      <c r="F69" s="38"/>
      <c r="G69" s="38"/>
      <c r="H69" s="38"/>
      <c r="I69" s="38"/>
      <c r="J69" s="38"/>
    </row>
    <row r="70" customFormat="false" ht="36" hidden="false" customHeight="true" outlineLevel="0" collapsed="false">
      <c r="A70" s="16" t="s">
        <v>338</v>
      </c>
      <c r="B70" s="39" t="s">
        <v>339</v>
      </c>
      <c r="C70" s="18" t="s">
        <v>340</v>
      </c>
      <c r="D70" s="24" t="s">
        <v>50</v>
      </c>
      <c r="E70" s="19" t="s">
        <v>341</v>
      </c>
      <c r="F70" s="20"/>
      <c r="G70" s="20"/>
      <c r="H70" s="21" t="s">
        <v>46</v>
      </c>
      <c r="I70" s="22" t="s">
        <v>342</v>
      </c>
      <c r="J70" s="23"/>
    </row>
    <row r="71" customFormat="false" ht="51" hidden="false" customHeight="true" outlineLevel="0" collapsed="false">
      <c r="A71" s="16" t="s">
        <v>343</v>
      </c>
      <c r="B71" s="39" t="s">
        <v>339</v>
      </c>
      <c r="C71" s="18" t="s">
        <v>344</v>
      </c>
      <c r="D71" s="24" t="s">
        <v>50</v>
      </c>
      <c r="E71" s="19" t="s">
        <v>345</v>
      </c>
      <c r="F71" s="20"/>
      <c r="G71" s="20"/>
      <c r="H71" s="21" t="s">
        <v>46</v>
      </c>
      <c r="I71" s="22" t="s">
        <v>346</v>
      </c>
      <c r="J71" s="23"/>
    </row>
    <row r="72" customFormat="false" ht="51" hidden="false" customHeight="true" outlineLevel="0" collapsed="false">
      <c r="A72" s="16" t="s">
        <v>347</v>
      </c>
      <c r="B72" s="39" t="s">
        <v>339</v>
      </c>
      <c r="C72" s="18" t="s">
        <v>348</v>
      </c>
      <c r="D72" s="19" t="s">
        <v>349</v>
      </c>
      <c r="E72" s="19" t="s">
        <v>350</v>
      </c>
      <c r="F72" s="20"/>
      <c r="G72" s="20"/>
      <c r="H72" s="21" t="s">
        <v>46</v>
      </c>
      <c r="I72" s="22" t="s">
        <v>351</v>
      </c>
      <c r="J72" s="23"/>
    </row>
    <row r="73" customFormat="false" ht="36" hidden="false" customHeight="true" outlineLevel="0" collapsed="false">
      <c r="A73" s="16" t="s">
        <v>352</v>
      </c>
      <c r="B73" s="39" t="s">
        <v>339</v>
      </c>
      <c r="C73" s="18" t="s">
        <v>353</v>
      </c>
      <c r="D73" s="19" t="s">
        <v>354</v>
      </c>
      <c r="E73" s="19" t="s">
        <v>355</v>
      </c>
      <c r="F73" s="20"/>
      <c r="G73" s="20"/>
      <c r="H73" s="21" t="s">
        <v>46</v>
      </c>
      <c r="I73" s="22" t="s">
        <v>356</v>
      </c>
      <c r="J73" s="23"/>
    </row>
    <row r="74" customFormat="false" ht="36" hidden="false" customHeight="true" outlineLevel="0" collapsed="false">
      <c r="A74" s="16" t="s">
        <v>357</v>
      </c>
      <c r="B74" s="39" t="s">
        <v>339</v>
      </c>
      <c r="C74" s="18" t="s">
        <v>358</v>
      </c>
      <c r="D74" s="24" t="s">
        <v>50</v>
      </c>
      <c r="E74" s="19" t="s">
        <v>359</v>
      </c>
      <c r="F74" s="20"/>
      <c r="G74" s="20"/>
      <c r="H74" s="21" t="s">
        <v>46</v>
      </c>
      <c r="I74" s="22" t="s">
        <v>360</v>
      </c>
      <c r="J74" s="23"/>
    </row>
    <row r="75" customFormat="false" ht="36" hidden="false" customHeight="true" outlineLevel="0" collapsed="false">
      <c r="A75" s="16" t="s">
        <v>361</v>
      </c>
      <c r="B75" s="39" t="s">
        <v>339</v>
      </c>
      <c r="C75" s="18" t="s">
        <v>362</v>
      </c>
      <c r="D75" s="24" t="s">
        <v>50</v>
      </c>
      <c r="E75" s="19" t="s">
        <v>363</v>
      </c>
      <c r="F75" s="20"/>
      <c r="G75" s="20"/>
      <c r="H75" s="21" t="s">
        <v>46</v>
      </c>
      <c r="I75" s="22" t="s">
        <v>364</v>
      </c>
      <c r="J75" s="23"/>
    </row>
  </sheetData>
  <autoFilter ref="A5:J75"/>
  <mergeCells count="9">
    <mergeCell ref="B2:D2"/>
    <mergeCell ref="A6:J6"/>
    <mergeCell ref="A15:J15"/>
    <mergeCell ref="A22:J22"/>
    <mergeCell ref="A29:J29"/>
    <mergeCell ref="A43:J43"/>
    <mergeCell ref="A53:J53"/>
    <mergeCell ref="A61:J61"/>
    <mergeCell ref="A69:J69"/>
  </mergeCells>
  <conditionalFormatting sqref="H6:H75">
    <cfRule type="cellIs" priority="2" operator="equal" aboveAverage="0" equalAverage="0" bottom="0" percent="0" rank="0" text="" dxfId="21">
      <formula>"決定"</formula>
    </cfRule>
    <cfRule type="cellIs" priority="3" operator="equal" aboveAverage="0" equalAverage="0" bottom="0" percent="0" rank="0" text="" dxfId="22">
      <formula>"検討中"</formula>
    </cfRule>
  </conditionalFormatting>
  <dataValidations count="37">
    <dataValidation allowBlank="true" errorStyle="stop" operator="between" showDropDown="false" showErrorMessage="false" showInputMessage="false" sqref="H7:H14 H16:H21 H23:H28 H30:H42 H44:H52 H54:H60 H62:H68 H70:H75" type="list">
      <formula1>"未着手,検討中,決定"</formula1>
      <formula2>0</formula2>
    </dataValidation>
    <dataValidation allowBlank="true" errorStyle="stop" operator="between" showDropDown="false" showErrorMessage="false" showInputMessage="false" sqref="F7" type="list">
      <formula1>"企業会計基準(日本基準),中小企業の会計に関する指針,中小企業の会計に関する基本要領,IFRS(国際財務報告基準)"</formula1>
      <formula2>0</formula2>
    </dataValidation>
    <dataValidation allowBlank="true" errorStyle="stop" operator="between" showDropDown="false" showErrorMessage="false" showInputMessage="false" sqref="F9" type="list">
      <formula1>"毎月行う,四半期ごとに行う,年1回の決算だけ"</formula1>
      <formula2>0</formula2>
    </dataValidation>
    <dataValidation allowBlank="true" errorStyle="stop" operator="between" showDropDown="false" showErrorMessage="false" showInputMessage="false" sqref="F10" type="list">
      <formula1>"会社全体で1本,本支店会計,部門別会計"</formula1>
      <formula2>0</formula2>
    </dataValidation>
    <dataValidation allowBlank="true" errorStyle="stop" operator="between" showDropDown="false" showErrorMessage="false" showInputMessage="false" sqref="F11" type="list">
      <formula1>"税抜方式,税込方式"</formula1>
      <formula2>0</formula2>
    </dataValidation>
    <dataValidation allowBlank="true" errorStyle="stop" operator="between" showDropDown="false" showErrorMessage="false" showInputMessage="false" sqref="F12" type="list">
      <formula1>"本則課税(原則課税),簡易課税,免税事業者"</formula1>
      <formula2>0</formula2>
    </dataValidation>
    <dataValidation allowBlank="true" errorStyle="stop" operator="between" showDropDown="false" showErrorMessage="false" showInputMessage="false" sqref="F13" type="list">
      <formula1>"登録している,登録していない"</formula1>
      <formula2>0</formula2>
    </dataValidation>
    <dataValidation allowBlank="true" errorStyle="stop" operator="between" showDropDown="false" showErrorMessage="false" showInputMessage="false" sqref="F16" type="list">
      <formula1>"仕訳帳に直接記入,会計ソフトに直接入力,三伝票制(入金・出金・振替),五伝票制(+売上・仕入)"</formula1>
      <formula2>0</formula2>
    </dataValidation>
    <dataValidation allowBlank="true" errorStyle="stop" operator="between" showDropDown="false" showErrorMessage="false" showInputMessage="false" sqref="F17" type="list">
      <formula1>"取引を分解して起票,いったん全額掛けとして起票"</formula1>
      <formula2>0</formula2>
    </dataValidation>
    <dataValidation allowBlank="true" errorStyle="stop" operator="between" showDropDown="false" showErrorMessage="false" showInputMessage="false" sqref="F18" type="list">
      <formula1>"仕訳ごとに1件ずつ転記,仕訳日計表で毎日まとめて転記,仕訳週計表で毎週まとめて転記"</formula1>
      <formula2>0</formula2>
    </dataValidation>
    <dataValidation allowBlank="true" errorStyle="stop" operator="between" showDropDown="false" showErrorMessage="false" showInputMessage="false" sqref="F24" type="list">
      <formula1>"口座ごとに設定する,設定しない"</formula1>
      <formula2>0</formula2>
    </dataValidation>
    <dataValidation allowBlank="true" errorStyle="stop" operator="between" showDropDown="false" showErrorMessage="false" showInputMessage="false" sqref="F25" type="list">
      <formula1>"取引先ごとに補助科目を設定,補助元帳だけで管理,管理しない"</formula1>
      <formula2>0</formula2>
    </dataValidation>
    <dataValidation allowBlank="true" errorStyle="stop" operator="between" showDropDown="false" showErrorMessage="false" showInputMessage="false" sqref="F26" type="list">
      <formula1>"部門タグを使う,部門とプロジェクトのタグを使う,使わない"</formula1>
      <formula2>0</formula2>
    </dataValidation>
    <dataValidation allowBlank="true" errorStyle="stop" operator="between" showDropDown="false" showErrorMessage="false" showInputMessage="false" sqref="F30" type="list">
      <formula1>"出荷基準,着荷基準,検収基準"</formula1>
      <formula2>0</formula2>
    </dataValidation>
    <dataValidation allowBlank="true" errorStyle="stop" operator="between" showDropDown="false" showErrorMessage="false" showInputMessage="false" sqref="F31" type="list">
      <formula1>"三分法,売上原価対立法,分記法"</formula1>
      <formula2>0</formula2>
    </dataValidation>
    <dataValidation allowBlank="true" errorStyle="stop" operator="between" showDropDown="false" showErrorMessage="false" showInputMessage="false" sqref="F32" type="list">
      <formula1>"先入先出法,移動平均法,総平均法"</formula1>
      <formula2>0</formula2>
    </dataValidation>
    <dataValidation allowBlank="true" errorStyle="stop" operator="between" showDropDown="false" showErrorMessage="false" showInputMessage="false" sqref="F33" type="list">
      <formula1>"洗替法,切放法"</formula1>
      <formula2>0</formula2>
    </dataValidation>
    <dataValidation allowBlank="true" errorStyle="stop" operator="between" showDropDown="false" showErrorMessage="false" showInputMessage="false" sqref="F34" type="list">
      <formula1>"定額法,定率法(200%定率法),生産高比例法"</formula1>
      <formula2>0</formula2>
    </dataValidation>
    <dataValidation allowBlank="true" errorStyle="stop" operator="between" showDropDown="false" showErrorMessage="false" showInputMessage="false" sqref="F35" type="list">
      <formula1>"間接法,直接法"</formula1>
      <formula2>0</formula2>
    </dataValidation>
    <dataValidation allowBlank="true" errorStyle="stop" operator="between" showDropDown="false" showErrorMessage="false" showInputMessage="false" sqref="F37" type="list">
      <formula1>"差額補充法,洗替法"</formula1>
      <formula2>0</formula2>
    </dataValidation>
    <dataValidation allowBlank="true" errorStyle="stop" operator="between" showDropDown="false" showErrorMessage="false" showInputMessage="false" sqref="F40" type="list">
      <formula1>"全部純資産直入法,部分純資産直入法"</formula1>
      <formula2>0</formula2>
    </dataValidation>
    <dataValidation allowBlank="true" errorStyle="stop" operator="between" showDropDown="false" showErrorMessage="false" showInputMessage="false" sqref="F42" type="list">
      <formula1>"適用する,適用しない"</formula1>
      <formula2>0</formula2>
    </dataValidation>
    <dataValidation allowBlank="true" errorStyle="stop" operator="between" showDropDown="false" showErrorMessage="false" showInputMessage="false" sqref="F44" type="list">
      <formula1>"定額資金前渡法(インプレスト・システム),随時補給法,小口現金を置かない"</formula1>
      <formula2>0</formula2>
    </dataValidation>
    <dataValidation allowBlank="true" errorStyle="stop" operator="between" showDropDown="false" showErrorMessage="false" showInputMessage="false" sqref="F47" type="list">
      <formula1>"販売時に計上,入金時に計上"</formula1>
      <formula2>0</formula2>
    </dataValidation>
    <dataValidation allowBlank="true" errorStyle="stop" operator="between" showDropDown="false" showErrorMessage="false" showInputMessage="false" sqref="F48" type="list">
      <formula1>"内容ごとに分ける,預り金1つにまとめる"</formula1>
      <formula2>0</formula2>
    </dataValidation>
    <dataValidation allowBlank="true" errorStyle="stop" operator="between" showDropDown="false" showErrorMessage="false" showInputMessage="false" sqref="F49" type="list">
      <formula1>"毎月計上する,決算時だけ計上する"</formula1>
      <formula2>0</formula2>
    </dataValidation>
    <dataValidation allowBlank="true" errorStyle="stop" operator="between" showDropDown="false" showErrorMessage="false" showInputMessage="false" sqref="F50" type="list">
      <formula1>"行う,行わない"</formula1>
      <formula2>0</formula2>
    </dataValidation>
    <dataValidation allowBlank="true" errorStyle="stop" operator="between" showDropDown="false" showErrorMessage="false" showInputMessage="false" sqref="F56" type="list">
      <formula1>"合計残高試算表,残高試算表,合計試算表"</formula1>
      <formula2>0</formula2>
    </dataValidation>
    <dataValidation allowBlank="true" errorStyle="stop" operator="between" showDropDown="false" showErrorMessage="false" showInputMessage="false" sqref="F57" type="list">
      <formula1>"年1回(決算時),毎月,循環棚卸(場所ごとに順番に)"</formula1>
      <formula2>0</formula2>
    </dataValidation>
    <dataValidation allowBlank="true" errorStyle="stop" operator="between" showDropDown="false" showErrorMessage="false" showInputMessage="false" sqref="F59" type="list">
      <formula1>"8桁精算表を作る,10桁精算表を作る,作らない"</formula1>
      <formula2>0</formula2>
    </dataValidation>
    <dataValidation allowBlank="true" errorStyle="stop" operator="between" showDropDown="false" showErrorMessage="false" showInputMessage="false" sqref="F60" type="list">
      <formula1>"英米式決算法,大陸式決算法"</formula1>
      <formula2>0</formula2>
    </dataValidation>
    <dataValidation allowBlank="true" errorStyle="stop" operator="between" showDropDown="false" showErrorMessage="false" showInputMessage="false" sqref="F63" type="list">
      <formula1>"流動性配列法,固定性配列法"</formula1>
      <formula2>0</formula2>
    </dataValidation>
    <dataValidation allowBlank="true" errorStyle="stop" operator="between" showDropDown="false" showErrorMessage="false" showInputMessage="false" sqref="F64" type="list">
      <formula1>"報告式,勘定式,損益計算書は報告式・貸借対照表は勘定式"</formula1>
      <formula2>0</formula2>
    </dataValidation>
    <dataValidation allowBlank="true" errorStyle="stop" operator="between" showDropDown="false" showErrorMessage="false" showInputMessage="false" sqref="F66" type="list">
      <formula1>"作らない,作る(営業CFは間接法),作る(営業CFは直接法)"</formula1>
      <formula2>0</formula2>
    </dataValidation>
    <dataValidation allowBlank="true" errorStyle="stop" operator="between" showDropDown="false" showErrorMessage="false" showInputMessage="false" sqref="F68" type="list">
      <formula1>"円単位,千円単位,百万円単位"</formula1>
      <formula2>0</formula2>
    </dataValidation>
    <dataValidation allowBlank="true" errorStyle="stop" operator="between" showDropDown="false" showErrorMessage="false" showInputMessage="false" sqref="F72" type="list">
      <formula1>"会計ソフト・クラウドに保存,社内サーバーに検索できる形で保存,事務処理規程を作って保存"</formula1>
      <formula2>0</formula2>
    </dataValidation>
    <dataValidation allowBlank="true" errorStyle="stop" operator="between" showDropDown="false" showErrorMessage="false" showInputMessage="false" sqref="F73" type="list">
      <formula1>"使う,使わない"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9.79"/>
    <col collapsed="false" customWidth="true" hidden="false" outlineLevel="0" max="2" min="2" style="0" width="28.3"/>
    <col collapsed="false" customWidth="true" hidden="false" outlineLevel="0" max="3" min="3" style="0" width="15.23"/>
    <col collapsed="false" customWidth="true" hidden="false" outlineLevel="0" max="4" min="4" style="0" width="23.94"/>
    <col collapsed="false" customWidth="true" hidden="false" outlineLevel="0" max="5" min="5" style="0" width="30.47"/>
    <col collapsed="false" customWidth="true" hidden="false" outlineLevel="0" max="6" min="6" style="0" width="28.3"/>
    <col collapsed="false" customWidth="true" hidden="false" outlineLevel="0" max="7" min="7" style="0" width="7.62"/>
    <col collapsed="false" customWidth="true" hidden="false" outlineLevel="0" max="8" min="8" style="0" width="32.65"/>
  </cols>
  <sheetData>
    <row r="1" customFormat="false" ht="21.6" hidden="false" customHeight="false" outlineLevel="0" collapsed="false">
      <c r="A1" s="8" t="s">
        <v>365</v>
      </c>
    </row>
    <row r="2" customFormat="false" ht="15" hidden="false" customHeight="false" outlineLevel="0" collapsed="false">
      <c r="A2" s="40" t="s">
        <v>366</v>
      </c>
    </row>
    <row r="3" customFormat="false" ht="15" hidden="false" customHeight="false" outlineLevel="0" collapsed="false">
      <c r="G3" s="41" t="str">
        <f aca="false">COUNTIF(G5:G87,"○")&amp;" 科目を使用"</f>
        <v>68 科目を使用</v>
      </c>
    </row>
    <row r="4" customFormat="false" ht="15" hidden="false" customHeight="false" outlineLevel="0" collapsed="false">
      <c r="A4" s="14" t="s">
        <v>367</v>
      </c>
      <c r="B4" s="14" t="s">
        <v>368</v>
      </c>
      <c r="C4" s="13" t="s">
        <v>369</v>
      </c>
      <c r="D4" s="14" t="s">
        <v>370</v>
      </c>
      <c r="E4" s="14" t="s">
        <v>371</v>
      </c>
      <c r="F4" s="14" t="s">
        <v>372</v>
      </c>
      <c r="G4" s="14" t="s">
        <v>373</v>
      </c>
      <c r="H4" s="14" t="s">
        <v>374</v>
      </c>
    </row>
    <row r="5" customFormat="false" ht="15" hidden="false" customHeight="false" outlineLevel="0" collapsed="false">
      <c r="A5" s="42" t="s">
        <v>375</v>
      </c>
      <c r="B5" s="43" t="s">
        <v>376</v>
      </c>
      <c r="C5" s="44" t="s">
        <v>377</v>
      </c>
      <c r="D5" s="43" t="s">
        <v>378</v>
      </c>
      <c r="E5" s="43" t="s">
        <v>379</v>
      </c>
      <c r="F5" s="42"/>
      <c r="G5" s="21" t="s">
        <v>380</v>
      </c>
      <c r="H5" s="9"/>
    </row>
    <row r="6" customFormat="false" ht="15" hidden="false" customHeight="false" outlineLevel="0" collapsed="false">
      <c r="A6" s="42" t="s">
        <v>381</v>
      </c>
      <c r="B6" s="43" t="s">
        <v>220</v>
      </c>
      <c r="C6" s="44" t="s">
        <v>377</v>
      </c>
      <c r="D6" s="43" t="s">
        <v>378</v>
      </c>
      <c r="E6" s="43" t="s">
        <v>379</v>
      </c>
      <c r="F6" s="42"/>
      <c r="G6" s="21" t="s">
        <v>380</v>
      </c>
      <c r="H6" s="9"/>
    </row>
    <row r="7" customFormat="false" ht="15" hidden="false" customHeight="false" outlineLevel="0" collapsed="false">
      <c r="A7" s="42" t="s">
        <v>382</v>
      </c>
      <c r="B7" s="43" t="s">
        <v>383</v>
      </c>
      <c r="C7" s="44" t="s">
        <v>377</v>
      </c>
      <c r="D7" s="43" t="s">
        <v>378</v>
      </c>
      <c r="E7" s="43" t="s">
        <v>379</v>
      </c>
      <c r="F7" s="43" t="s">
        <v>384</v>
      </c>
      <c r="G7" s="21" t="s">
        <v>380</v>
      </c>
      <c r="H7" s="9"/>
    </row>
    <row r="8" customFormat="false" ht="15" hidden="false" customHeight="false" outlineLevel="0" collapsed="false">
      <c r="A8" s="42" t="s">
        <v>385</v>
      </c>
      <c r="B8" s="43" t="s">
        <v>386</v>
      </c>
      <c r="C8" s="44" t="s">
        <v>377</v>
      </c>
      <c r="D8" s="43" t="s">
        <v>378</v>
      </c>
      <c r="E8" s="43" t="s">
        <v>379</v>
      </c>
      <c r="F8" s="43" t="s">
        <v>384</v>
      </c>
      <c r="G8" s="21" t="s">
        <v>380</v>
      </c>
      <c r="H8" s="9"/>
    </row>
    <row r="9" customFormat="false" ht="15" hidden="false" customHeight="false" outlineLevel="0" collapsed="false">
      <c r="A9" s="42" t="s">
        <v>387</v>
      </c>
      <c r="B9" s="43" t="s">
        <v>388</v>
      </c>
      <c r="C9" s="44" t="s">
        <v>377</v>
      </c>
      <c r="D9" s="43" t="s">
        <v>378</v>
      </c>
      <c r="E9" s="43" t="s">
        <v>388</v>
      </c>
      <c r="F9" s="43" t="s">
        <v>389</v>
      </c>
      <c r="G9" s="21" t="s">
        <v>380</v>
      </c>
      <c r="H9" s="9"/>
    </row>
    <row r="10" customFormat="false" ht="15" hidden="false" customHeight="false" outlineLevel="0" collapsed="false">
      <c r="A10" s="42" t="s">
        <v>390</v>
      </c>
      <c r="B10" s="43" t="s">
        <v>391</v>
      </c>
      <c r="C10" s="44" t="s">
        <v>377</v>
      </c>
      <c r="D10" s="43" t="s">
        <v>378</v>
      </c>
      <c r="E10" s="43" t="s">
        <v>391</v>
      </c>
      <c r="F10" s="43" t="s">
        <v>389</v>
      </c>
      <c r="G10" s="21" t="s">
        <v>380</v>
      </c>
      <c r="H10" s="9"/>
    </row>
    <row r="11" customFormat="false" ht="15" hidden="false" customHeight="false" outlineLevel="0" collapsed="false">
      <c r="A11" s="42" t="s">
        <v>392</v>
      </c>
      <c r="B11" s="43" t="s">
        <v>393</v>
      </c>
      <c r="C11" s="44" t="s">
        <v>377</v>
      </c>
      <c r="D11" s="43" t="s">
        <v>378</v>
      </c>
      <c r="E11" s="43" t="s">
        <v>393</v>
      </c>
      <c r="F11" s="43" t="s">
        <v>389</v>
      </c>
      <c r="G11" s="21" t="s">
        <v>380</v>
      </c>
      <c r="H11" s="9"/>
    </row>
    <row r="12" customFormat="false" ht="15" hidden="false" customHeight="false" outlineLevel="0" collapsed="false">
      <c r="A12" s="42" t="s">
        <v>394</v>
      </c>
      <c r="B12" s="43" t="s">
        <v>395</v>
      </c>
      <c r="C12" s="44" t="s">
        <v>377</v>
      </c>
      <c r="D12" s="43" t="s">
        <v>378</v>
      </c>
      <c r="E12" s="43" t="s">
        <v>393</v>
      </c>
      <c r="F12" s="43" t="s">
        <v>396</v>
      </c>
      <c r="G12" s="21" t="s">
        <v>380</v>
      </c>
      <c r="H12" s="9"/>
    </row>
    <row r="13" customFormat="false" ht="15" hidden="false" customHeight="false" outlineLevel="0" collapsed="false">
      <c r="A13" s="42" t="s">
        <v>397</v>
      </c>
      <c r="B13" s="43" t="s">
        <v>398</v>
      </c>
      <c r="C13" s="44" t="s">
        <v>399</v>
      </c>
      <c r="D13" s="43" t="s">
        <v>378</v>
      </c>
      <c r="E13" s="43" t="s">
        <v>400</v>
      </c>
      <c r="F13" s="42"/>
      <c r="G13" s="21" t="s">
        <v>380</v>
      </c>
      <c r="H13" s="9"/>
    </row>
    <row r="14" customFormat="false" ht="15" hidden="false" customHeight="false" outlineLevel="0" collapsed="false">
      <c r="A14" s="42" t="s">
        <v>401</v>
      </c>
      <c r="B14" s="43" t="s">
        <v>402</v>
      </c>
      <c r="C14" s="44" t="s">
        <v>377</v>
      </c>
      <c r="D14" s="43" t="s">
        <v>378</v>
      </c>
      <c r="E14" s="43" t="s">
        <v>402</v>
      </c>
      <c r="F14" s="43" t="s">
        <v>403</v>
      </c>
      <c r="G14" s="21" t="s">
        <v>380</v>
      </c>
      <c r="H14" s="9"/>
    </row>
    <row r="15" customFormat="false" ht="15" hidden="false" customHeight="false" outlineLevel="0" collapsed="false">
      <c r="A15" s="42" t="s">
        <v>404</v>
      </c>
      <c r="B15" s="43" t="s">
        <v>405</v>
      </c>
      <c r="C15" s="44" t="s">
        <v>377</v>
      </c>
      <c r="D15" s="43" t="s">
        <v>378</v>
      </c>
      <c r="E15" s="43" t="s">
        <v>406</v>
      </c>
      <c r="F15" s="42"/>
      <c r="G15" s="21" t="s">
        <v>380</v>
      </c>
      <c r="H15" s="9"/>
    </row>
    <row r="16" customFormat="false" ht="15" hidden="false" customHeight="false" outlineLevel="0" collapsed="false">
      <c r="A16" s="42" t="s">
        <v>407</v>
      </c>
      <c r="B16" s="43" t="s">
        <v>408</v>
      </c>
      <c r="C16" s="44" t="s">
        <v>377</v>
      </c>
      <c r="D16" s="43" t="s">
        <v>378</v>
      </c>
      <c r="E16" s="43" t="s">
        <v>408</v>
      </c>
      <c r="F16" s="42"/>
      <c r="G16" s="21" t="s">
        <v>380</v>
      </c>
      <c r="H16" s="9"/>
    </row>
    <row r="17" customFormat="false" ht="15" hidden="false" customHeight="false" outlineLevel="0" collapsed="false">
      <c r="A17" s="42" t="s">
        <v>409</v>
      </c>
      <c r="B17" s="43" t="s">
        <v>410</v>
      </c>
      <c r="C17" s="44" t="s">
        <v>377</v>
      </c>
      <c r="D17" s="43" t="s">
        <v>378</v>
      </c>
      <c r="E17" s="43" t="s">
        <v>410</v>
      </c>
      <c r="F17" s="42"/>
      <c r="G17" s="21" t="s">
        <v>380</v>
      </c>
      <c r="H17" s="9"/>
    </row>
    <row r="18" customFormat="false" ht="15" hidden="false" customHeight="false" outlineLevel="0" collapsed="false">
      <c r="A18" s="42" t="s">
        <v>411</v>
      </c>
      <c r="B18" s="43" t="s">
        <v>412</v>
      </c>
      <c r="C18" s="44" t="s">
        <v>377</v>
      </c>
      <c r="D18" s="43" t="s">
        <v>378</v>
      </c>
      <c r="E18" s="43" t="s">
        <v>413</v>
      </c>
      <c r="F18" s="42"/>
      <c r="G18" s="21" t="s">
        <v>380</v>
      </c>
      <c r="H18" s="9"/>
    </row>
    <row r="19" customFormat="false" ht="15" hidden="false" customHeight="false" outlineLevel="0" collapsed="false">
      <c r="A19" s="42" t="s">
        <v>414</v>
      </c>
      <c r="B19" s="43" t="s">
        <v>415</v>
      </c>
      <c r="C19" s="44" t="s">
        <v>377</v>
      </c>
      <c r="D19" s="43" t="s">
        <v>378</v>
      </c>
      <c r="E19" s="42" t="s">
        <v>416</v>
      </c>
      <c r="F19" s="42"/>
      <c r="G19" s="21" t="s">
        <v>380</v>
      </c>
      <c r="H19" s="9"/>
    </row>
    <row r="20" customFormat="false" ht="15" hidden="false" customHeight="false" outlineLevel="0" collapsed="false">
      <c r="A20" s="42" t="s">
        <v>417</v>
      </c>
      <c r="B20" s="43" t="s">
        <v>418</v>
      </c>
      <c r="C20" s="44" t="s">
        <v>377</v>
      </c>
      <c r="D20" s="43" t="s">
        <v>378</v>
      </c>
      <c r="E20" s="42" t="s">
        <v>419</v>
      </c>
      <c r="F20" s="42"/>
      <c r="G20" s="21" t="s">
        <v>380</v>
      </c>
      <c r="H20" s="9"/>
    </row>
    <row r="21" customFormat="false" ht="15" hidden="false" customHeight="false" outlineLevel="0" collapsed="false">
      <c r="A21" s="42" t="s">
        <v>420</v>
      </c>
      <c r="B21" s="43" t="s">
        <v>421</v>
      </c>
      <c r="C21" s="44" t="s">
        <v>377</v>
      </c>
      <c r="D21" s="43" t="s">
        <v>422</v>
      </c>
      <c r="E21" s="43" t="s">
        <v>421</v>
      </c>
      <c r="F21" s="42"/>
      <c r="G21" s="21" t="s">
        <v>380</v>
      </c>
      <c r="H21" s="9"/>
    </row>
    <row r="22" customFormat="false" ht="15" hidden="false" customHeight="false" outlineLevel="0" collapsed="false">
      <c r="A22" s="42" t="s">
        <v>423</v>
      </c>
      <c r="B22" s="43" t="s">
        <v>424</v>
      </c>
      <c r="C22" s="44" t="s">
        <v>399</v>
      </c>
      <c r="D22" s="43" t="s">
        <v>422</v>
      </c>
      <c r="E22" s="43" t="s">
        <v>425</v>
      </c>
      <c r="F22" s="42"/>
      <c r="G22" s="21" t="s">
        <v>380</v>
      </c>
      <c r="H22" s="9"/>
    </row>
    <row r="23" customFormat="false" ht="15" hidden="false" customHeight="false" outlineLevel="0" collapsed="false">
      <c r="A23" s="42" t="s">
        <v>426</v>
      </c>
      <c r="B23" s="43" t="s">
        <v>427</v>
      </c>
      <c r="C23" s="44" t="s">
        <v>377</v>
      </c>
      <c r="D23" s="43" t="s">
        <v>422</v>
      </c>
      <c r="E23" s="43" t="s">
        <v>428</v>
      </c>
      <c r="F23" s="42"/>
      <c r="G23" s="21" t="s">
        <v>380</v>
      </c>
      <c r="H23" s="9"/>
    </row>
    <row r="24" customFormat="false" ht="15" hidden="false" customHeight="false" outlineLevel="0" collapsed="false">
      <c r="A24" s="42" t="s">
        <v>429</v>
      </c>
      <c r="B24" s="43" t="s">
        <v>430</v>
      </c>
      <c r="C24" s="44" t="s">
        <v>399</v>
      </c>
      <c r="D24" s="43" t="s">
        <v>422</v>
      </c>
      <c r="E24" s="43" t="s">
        <v>425</v>
      </c>
      <c r="F24" s="42"/>
      <c r="G24" s="21" t="s">
        <v>380</v>
      </c>
      <c r="H24" s="9"/>
    </row>
    <row r="25" customFormat="false" ht="15" hidden="false" customHeight="false" outlineLevel="0" collapsed="false">
      <c r="A25" s="42" t="s">
        <v>431</v>
      </c>
      <c r="B25" s="43" t="s">
        <v>432</v>
      </c>
      <c r="C25" s="44" t="s">
        <v>377</v>
      </c>
      <c r="D25" s="43" t="s">
        <v>422</v>
      </c>
      <c r="E25" s="43" t="s">
        <v>432</v>
      </c>
      <c r="F25" s="42"/>
      <c r="G25" s="21" t="s">
        <v>380</v>
      </c>
      <c r="H25" s="9"/>
    </row>
    <row r="26" customFormat="false" ht="15" hidden="false" customHeight="false" outlineLevel="0" collapsed="false">
      <c r="A26" s="42" t="s">
        <v>433</v>
      </c>
      <c r="B26" s="43" t="s">
        <v>434</v>
      </c>
      <c r="C26" s="44" t="s">
        <v>377</v>
      </c>
      <c r="D26" s="43" t="s">
        <v>422</v>
      </c>
      <c r="E26" s="43" t="s">
        <v>434</v>
      </c>
      <c r="F26" s="42"/>
      <c r="G26" s="21" t="s">
        <v>380</v>
      </c>
      <c r="H26" s="9"/>
    </row>
    <row r="27" customFormat="false" ht="15" hidden="false" customHeight="false" outlineLevel="0" collapsed="false">
      <c r="A27" s="42" t="s">
        <v>435</v>
      </c>
      <c r="B27" s="43" t="s">
        <v>436</v>
      </c>
      <c r="C27" s="44" t="s">
        <v>377</v>
      </c>
      <c r="D27" s="43" t="s">
        <v>437</v>
      </c>
      <c r="E27" s="43" t="s">
        <v>436</v>
      </c>
      <c r="F27" s="42"/>
      <c r="G27" s="21" t="s">
        <v>380</v>
      </c>
      <c r="H27" s="9"/>
    </row>
    <row r="28" customFormat="false" ht="15" hidden="false" customHeight="false" outlineLevel="0" collapsed="false">
      <c r="A28" s="42" t="s">
        <v>438</v>
      </c>
      <c r="B28" s="43" t="s">
        <v>439</v>
      </c>
      <c r="C28" s="44" t="s">
        <v>377</v>
      </c>
      <c r="D28" s="43" t="s">
        <v>440</v>
      </c>
      <c r="E28" s="43" t="s">
        <v>439</v>
      </c>
      <c r="F28" s="43" t="s">
        <v>403</v>
      </c>
      <c r="G28" s="21" t="s">
        <v>380</v>
      </c>
      <c r="H28" s="9"/>
    </row>
    <row r="29" customFormat="false" ht="15" hidden="false" customHeight="false" outlineLevel="0" collapsed="false">
      <c r="A29" s="42" t="s">
        <v>441</v>
      </c>
      <c r="B29" s="43" t="s">
        <v>442</v>
      </c>
      <c r="C29" s="44" t="s">
        <v>377</v>
      </c>
      <c r="D29" s="43" t="s">
        <v>440</v>
      </c>
      <c r="E29" s="43" t="s">
        <v>442</v>
      </c>
      <c r="F29" s="42"/>
      <c r="G29" s="21" t="s">
        <v>380</v>
      </c>
      <c r="H29" s="9"/>
    </row>
    <row r="30" customFormat="false" ht="15" hidden="false" customHeight="false" outlineLevel="0" collapsed="false">
      <c r="A30" s="42" t="s">
        <v>443</v>
      </c>
      <c r="B30" s="43" t="s">
        <v>444</v>
      </c>
      <c r="C30" s="45" t="s">
        <v>445</v>
      </c>
      <c r="D30" s="43" t="s">
        <v>446</v>
      </c>
      <c r="E30" s="43" t="s">
        <v>444</v>
      </c>
      <c r="F30" s="43" t="s">
        <v>389</v>
      </c>
      <c r="G30" s="21" t="s">
        <v>380</v>
      </c>
      <c r="H30" s="9"/>
    </row>
    <row r="31" customFormat="false" ht="15" hidden="false" customHeight="false" outlineLevel="0" collapsed="false">
      <c r="A31" s="42" t="s">
        <v>447</v>
      </c>
      <c r="B31" s="43" t="s">
        <v>448</v>
      </c>
      <c r="C31" s="45" t="s">
        <v>445</v>
      </c>
      <c r="D31" s="43" t="s">
        <v>446</v>
      </c>
      <c r="E31" s="43" t="s">
        <v>448</v>
      </c>
      <c r="F31" s="43" t="s">
        <v>389</v>
      </c>
      <c r="G31" s="21" t="s">
        <v>380</v>
      </c>
      <c r="H31" s="9"/>
    </row>
    <row r="32" customFormat="false" ht="15" hidden="false" customHeight="false" outlineLevel="0" collapsed="false">
      <c r="A32" s="42" t="s">
        <v>449</v>
      </c>
      <c r="B32" s="43" t="s">
        <v>450</v>
      </c>
      <c r="C32" s="45" t="s">
        <v>445</v>
      </c>
      <c r="D32" s="43" t="s">
        <v>446</v>
      </c>
      <c r="E32" s="43" t="s">
        <v>450</v>
      </c>
      <c r="F32" s="43" t="s">
        <v>389</v>
      </c>
      <c r="G32" s="21" t="s">
        <v>380</v>
      </c>
      <c r="H32" s="9"/>
    </row>
    <row r="33" customFormat="false" ht="15" hidden="false" customHeight="false" outlineLevel="0" collapsed="false">
      <c r="A33" s="42" t="s">
        <v>451</v>
      </c>
      <c r="B33" s="43" t="s">
        <v>452</v>
      </c>
      <c r="C33" s="45" t="s">
        <v>445</v>
      </c>
      <c r="D33" s="43" t="s">
        <v>446</v>
      </c>
      <c r="E33" s="43" t="s">
        <v>452</v>
      </c>
      <c r="F33" s="43" t="s">
        <v>453</v>
      </c>
      <c r="G33" s="21" t="s">
        <v>380</v>
      </c>
      <c r="H33" s="9"/>
    </row>
    <row r="34" customFormat="false" ht="15" hidden="false" customHeight="false" outlineLevel="0" collapsed="false">
      <c r="A34" s="42" t="s">
        <v>454</v>
      </c>
      <c r="B34" s="43" t="s">
        <v>455</v>
      </c>
      <c r="C34" s="45" t="s">
        <v>445</v>
      </c>
      <c r="D34" s="43" t="s">
        <v>446</v>
      </c>
      <c r="E34" s="43" t="s">
        <v>455</v>
      </c>
      <c r="F34" s="42"/>
      <c r="G34" s="21" t="s">
        <v>380</v>
      </c>
      <c r="H34" s="9"/>
    </row>
    <row r="35" customFormat="false" ht="15" hidden="false" customHeight="false" outlineLevel="0" collapsed="false">
      <c r="A35" s="42" t="s">
        <v>456</v>
      </c>
      <c r="B35" s="43" t="s">
        <v>457</v>
      </c>
      <c r="C35" s="45" t="s">
        <v>445</v>
      </c>
      <c r="D35" s="43" t="s">
        <v>446</v>
      </c>
      <c r="E35" s="43" t="s">
        <v>457</v>
      </c>
      <c r="F35" s="42"/>
      <c r="G35" s="21" t="s">
        <v>380</v>
      </c>
      <c r="H35" s="9"/>
    </row>
    <row r="36" customFormat="false" ht="15" hidden="false" customHeight="false" outlineLevel="0" collapsed="false">
      <c r="A36" s="42" t="s">
        <v>458</v>
      </c>
      <c r="B36" s="43" t="s">
        <v>459</v>
      </c>
      <c r="C36" s="45" t="s">
        <v>445</v>
      </c>
      <c r="D36" s="43" t="s">
        <v>446</v>
      </c>
      <c r="E36" s="43" t="s">
        <v>459</v>
      </c>
      <c r="F36" s="42"/>
      <c r="G36" s="21" t="s">
        <v>380</v>
      </c>
      <c r="H36" s="9"/>
    </row>
    <row r="37" customFormat="false" ht="15" hidden="false" customHeight="false" outlineLevel="0" collapsed="false">
      <c r="A37" s="42" t="s">
        <v>460</v>
      </c>
      <c r="B37" s="43" t="s">
        <v>461</v>
      </c>
      <c r="C37" s="45" t="s">
        <v>445</v>
      </c>
      <c r="D37" s="43" t="s">
        <v>446</v>
      </c>
      <c r="E37" s="43" t="s">
        <v>462</v>
      </c>
      <c r="F37" s="42"/>
      <c r="G37" s="21" t="s">
        <v>380</v>
      </c>
      <c r="H37" s="9"/>
    </row>
    <row r="38" customFormat="false" ht="15" hidden="false" customHeight="false" outlineLevel="0" collapsed="false">
      <c r="A38" s="42" t="s">
        <v>463</v>
      </c>
      <c r="B38" s="43" t="s">
        <v>464</v>
      </c>
      <c r="C38" s="45" t="s">
        <v>445</v>
      </c>
      <c r="D38" s="43" t="s">
        <v>446</v>
      </c>
      <c r="E38" s="42" t="s">
        <v>416</v>
      </c>
      <c r="F38" s="42"/>
      <c r="G38" s="21" t="s">
        <v>380</v>
      </c>
      <c r="H38" s="9"/>
    </row>
    <row r="39" customFormat="false" ht="15" hidden="false" customHeight="false" outlineLevel="0" collapsed="false">
      <c r="A39" s="42" t="s">
        <v>465</v>
      </c>
      <c r="B39" s="43" t="s">
        <v>466</v>
      </c>
      <c r="C39" s="45" t="s">
        <v>445</v>
      </c>
      <c r="D39" s="43" t="s">
        <v>446</v>
      </c>
      <c r="E39" s="43" t="s">
        <v>466</v>
      </c>
      <c r="F39" s="42"/>
      <c r="G39" s="21" t="s">
        <v>380</v>
      </c>
      <c r="H39" s="9"/>
    </row>
    <row r="40" customFormat="false" ht="15" hidden="false" customHeight="false" outlineLevel="0" collapsed="false">
      <c r="A40" s="42" t="s">
        <v>467</v>
      </c>
      <c r="B40" s="43" t="s">
        <v>468</v>
      </c>
      <c r="C40" s="45" t="s">
        <v>445</v>
      </c>
      <c r="D40" s="43" t="s">
        <v>446</v>
      </c>
      <c r="E40" s="43" t="s">
        <v>468</v>
      </c>
      <c r="F40" s="43" t="s">
        <v>469</v>
      </c>
      <c r="G40" s="21" t="s">
        <v>380</v>
      </c>
      <c r="H40" s="9"/>
    </row>
    <row r="41" customFormat="false" ht="15" hidden="false" customHeight="false" outlineLevel="0" collapsed="false">
      <c r="A41" s="42" t="s">
        <v>470</v>
      </c>
      <c r="B41" s="43" t="s">
        <v>200</v>
      </c>
      <c r="C41" s="45" t="s">
        <v>445</v>
      </c>
      <c r="D41" s="43" t="s">
        <v>446</v>
      </c>
      <c r="E41" s="43" t="s">
        <v>200</v>
      </c>
      <c r="F41" s="42"/>
      <c r="G41" s="21" t="s">
        <v>380</v>
      </c>
      <c r="H41" s="9"/>
    </row>
    <row r="42" customFormat="false" ht="15" hidden="false" customHeight="false" outlineLevel="0" collapsed="false">
      <c r="A42" s="42" t="s">
        <v>471</v>
      </c>
      <c r="B42" s="43" t="s">
        <v>472</v>
      </c>
      <c r="C42" s="45" t="s">
        <v>445</v>
      </c>
      <c r="D42" s="43" t="s">
        <v>473</v>
      </c>
      <c r="E42" s="43" t="s">
        <v>472</v>
      </c>
      <c r="F42" s="43" t="s">
        <v>453</v>
      </c>
      <c r="G42" s="21" t="s">
        <v>380</v>
      </c>
      <c r="H42" s="9"/>
    </row>
    <row r="43" customFormat="false" ht="15" hidden="false" customHeight="false" outlineLevel="0" collapsed="false">
      <c r="A43" s="42" t="s">
        <v>474</v>
      </c>
      <c r="B43" s="43" t="s">
        <v>475</v>
      </c>
      <c r="C43" s="45" t="s">
        <v>445</v>
      </c>
      <c r="D43" s="43" t="s">
        <v>473</v>
      </c>
      <c r="E43" s="43" t="s">
        <v>475</v>
      </c>
      <c r="F43" s="42"/>
      <c r="G43" s="21" t="s">
        <v>380</v>
      </c>
      <c r="H43" s="9"/>
    </row>
    <row r="44" customFormat="false" ht="15" hidden="false" customHeight="false" outlineLevel="0" collapsed="false">
      <c r="A44" s="42" t="s">
        <v>476</v>
      </c>
      <c r="B44" s="43" t="s">
        <v>477</v>
      </c>
      <c r="C44" s="46" t="s">
        <v>478</v>
      </c>
      <c r="D44" s="43" t="s">
        <v>479</v>
      </c>
      <c r="E44" s="43" t="s">
        <v>477</v>
      </c>
      <c r="F44" s="42"/>
      <c r="G44" s="21" t="s">
        <v>380</v>
      </c>
      <c r="H44" s="9"/>
    </row>
    <row r="45" customFormat="false" ht="15" hidden="false" customHeight="false" outlineLevel="0" collapsed="false">
      <c r="A45" s="42" t="s">
        <v>480</v>
      </c>
      <c r="B45" s="43" t="s">
        <v>481</v>
      </c>
      <c r="C45" s="46" t="s">
        <v>478</v>
      </c>
      <c r="D45" s="43" t="s">
        <v>479</v>
      </c>
      <c r="E45" s="43" t="s">
        <v>481</v>
      </c>
      <c r="F45" s="42"/>
      <c r="G45" s="21" t="s">
        <v>380</v>
      </c>
      <c r="H45" s="9"/>
    </row>
    <row r="46" customFormat="false" ht="15" hidden="false" customHeight="false" outlineLevel="0" collapsed="false">
      <c r="A46" s="42" t="s">
        <v>482</v>
      </c>
      <c r="B46" s="43" t="s">
        <v>483</v>
      </c>
      <c r="C46" s="46" t="s">
        <v>478</v>
      </c>
      <c r="D46" s="43" t="s">
        <v>479</v>
      </c>
      <c r="E46" s="43" t="s">
        <v>483</v>
      </c>
      <c r="F46" s="42"/>
      <c r="G46" s="21" t="s">
        <v>380</v>
      </c>
      <c r="H46" s="9"/>
    </row>
    <row r="47" customFormat="false" ht="15" hidden="false" customHeight="false" outlineLevel="0" collapsed="false">
      <c r="A47" s="42" t="s">
        <v>484</v>
      </c>
      <c r="B47" s="43" t="s">
        <v>485</v>
      </c>
      <c r="C47" s="46" t="s">
        <v>478</v>
      </c>
      <c r="D47" s="43" t="s">
        <v>479</v>
      </c>
      <c r="E47" s="43" t="s">
        <v>485</v>
      </c>
      <c r="F47" s="42"/>
      <c r="G47" s="21" t="s">
        <v>380</v>
      </c>
      <c r="H47" s="9"/>
    </row>
    <row r="48" customFormat="false" ht="15" hidden="false" customHeight="false" outlineLevel="0" collapsed="false">
      <c r="A48" s="42" t="s">
        <v>486</v>
      </c>
      <c r="B48" s="43" t="s">
        <v>487</v>
      </c>
      <c r="C48" s="46" t="s">
        <v>478</v>
      </c>
      <c r="D48" s="43" t="s">
        <v>488</v>
      </c>
      <c r="E48" s="43" t="s">
        <v>487</v>
      </c>
      <c r="F48" s="42"/>
      <c r="G48" s="21" t="s">
        <v>380</v>
      </c>
      <c r="H48" s="9"/>
    </row>
    <row r="49" customFormat="false" ht="15" hidden="false" customHeight="false" outlineLevel="0" collapsed="false">
      <c r="A49" s="42" t="s">
        <v>489</v>
      </c>
      <c r="B49" s="43" t="s">
        <v>490</v>
      </c>
      <c r="C49" s="47" t="s">
        <v>491</v>
      </c>
      <c r="D49" s="43" t="s">
        <v>492</v>
      </c>
      <c r="E49" s="43" t="s">
        <v>492</v>
      </c>
      <c r="F49" s="43" t="s">
        <v>493</v>
      </c>
      <c r="G49" s="21" t="s">
        <v>380</v>
      </c>
      <c r="H49" s="9"/>
    </row>
    <row r="50" customFormat="false" ht="15" hidden="false" customHeight="false" outlineLevel="0" collapsed="false">
      <c r="A50" s="42" t="s">
        <v>494</v>
      </c>
      <c r="B50" s="43" t="s">
        <v>495</v>
      </c>
      <c r="C50" s="47" t="s">
        <v>491</v>
      </c>
      <c r="D50" s="43" t="s">
        <v>496</v>
      </c>
      <c r="E50" s="43" t="s">
        <v>495</v>
      </c>
      <c r="F50" s="42"/>
      <c r="G50" s="21" t="s">
        <v>380</v>
      </c>
      <c r="H50" s="9"/>
    </row>
    <row r="51" customFormat="false" ht="15" hidden="false" customHeight="false" outlineLevel="0" collapsed="false">
      <c r="A51" s="42" t="s">
        <v>497</v>
      </c>
      <c r="B51" s="43" t="s">
        <v>498</v>
      </c>
      <c r="C51" s="47" t="s">
        <v>491</v>
      </c>
      <c r="D51" s="43" t="s">
        <v>496</v>
      </c>
      <c r="E51" s="43" t="s">
        <v>498</v>
      </c>
      <c r="F51" s="42"/>
      <c r="G51" s="21" t="s">
        <v>380</v>
      </c>
      <c r="H51" s="9"/>
    </row>
    <row r="52" customFormat="false" ht="15" hidden="false" customHeight="false" outlineLevel="0" collapsed="false">
      <c r="A52" s="42" t="s">
        <v>499</v>
      </c>
      <c r="B52" s="43" t="s">
        <v>500</v>
      </c>
      <c r="C52" s="47" t="s">
        <v>491</v>
      </c>
      <c r="D52" s="43" t="s">
        <v>496</v>
      </c>
      <c r="E52" s="43" t="s">
        <v>501</v>
      </c>
      <c r="F52" s="42"/>
      <c r="G52" s="21" t="s">
        <v>380</v>
      </c>
      <c r="H52" s="9"/>
    </row>
    <row r="53" customFormat="false" ht="15" hidden="false" customHeight="false" outlineLevel="0" collapsed="false">
      <c r="A53" s="42" t="s">
        <v>502</v>
      </c>
      <c r="B53" s="43" t="s">
        <v>503</v>
      </c>
      <c r="C53" s="47" t="s">
        <v>491</v>
      </c>
      <c r="D53" s="43" t="s">
        <v>504</v>
      </c>
      <c r="E53" s="43" t="s">
        <v>503</v>
      </c>
      <c r="F53" s="42"/>
      <c r="G53" s="21" t="s">
        <v>380</v>
      </c>
      <c r="H53" s="9"/>
    </row>
    <row r="54" customFormat="false" ht="15" hidden="false" customHeight="false" outlineLevel="0" collapsed="false">
      <c r="A54" s="42" t="s">
        <v>505</v>
      </c>
      <c r="B54" s="43" t="s">
        <v>506</v>
      </c>
      <c r="C54" s="48" t="s">
        <v>507</v>
      </c>
      <c r="D54" s="43" t="s">
        <v>508</v>
      </c>
      <c r="E54" s="43" t="s">
        <v>508</v>
      </c>
      <c r="F54" s="42"/>
      <c r="G54" s="21" t="s">
        <v>380</v>
      </c>
      <c r="H54" s="9"/>
    </row>
    <row r="55" customFormat="false" ht="15" hidden="false" customHeight="false" outlineLevel="0" collapsed="false">
      <c r="A55" s="42" t="s">
        <v>509</v>
      </c>
      <c r="B55" s="43" t="s">
        <v>510</v>
      </c>
      <c r="C55" s="48" t="s">
        <v>507</v>
      </c>
      <c r="D55" s="43" t="s">
        <v>511</v>
      </c>
      <c r="E55" s="43" t="s">
        <v>510</v>
      </c>
      <c r="F55" s="42"/>
      <c r="G55" s="21" t="s">
        <v>380</v>
      </c>
      <c r="H55" s="9"/>
    </row>
    <row r="56" customFormat="false" ht="15" hidden="false" customHeight="false" outlineLevel="0" collapsed="false">
      <c r="A56" s="42" t="s">
        <v>512</v>
      </c>
      <c r="B56" s="43" t="s">
        <v>513</v>
      </c>
      <c r="C56" s="48" t="s">
        <v>507</v>
      </c>
      <c r="D56" s="43" t="s">
        <v>508</v>
      </c>
      <c r="E56" s="43" t="s">
        <v>508</v>
      </c>
      <c r="F56" s="42"/>
      <c r="G56" s="21" t="s">
        <v>380</v>
      </c>
      <c r="H56" s="9"/>
    </row>
    <row r="57" customFormat="false" ht="15" hidden="false" customHeight="false" outlineLevel="0" collapsed="false">
      <c r="A57" s="42" t="s">
        <v>514</v>
      </c>
      <c r="B57" s="43" t="s">
        <v>515</v>
      </c>
      <c r="C57" s="48" t="s">
        <v>507</v>
      </c>
      <c r="D57" s="43" t="s">
        <v>516</v>
      </c>
      <c r="E57" s="43" t="s">
        <v>517</v>
      </c>
      <c r="F57" s="43" t="s">
        <v>493</v>
      </c>
      <c r="G57" s="21" t="s">
        <v>380</v>
      </c>
      <c r="H57" s="9"/>
    </row>
    <row r="58" customFormat="false" ht="15" hidden="false" customHeight="false" outlineLevel="0" collapsed="false">
      <c r="A58" s="42" t="s">
        <v>518</v>
      </c>
      <c r="B58" s="43" t="s">
        <v>519</v>
      </c>
      <c r="C58" s="48" t="s">
        <v>507</v>
      </c>
      <c r="D58" s="43" t="s">
        <v>516</v>
      </c>
      <c r="E58" s="43" t="s">
        <v>519</v>
      </c>
      <c r="F58" s="42"/>
      <c r="G58" s="21" t="s">
        <v>380</v>
      </c>
      <c r="H58" s="9"/>
    </row>
    <row r="59" customFormat="false" ht="15" hidden="false" customHeight="false" outlineLevel="0" collapsed="false">
      <c r="A59" s="42" t="s">
        <v>520</v>
      </c>
      <c r="B59" s="43" t="s">
        <v>521</v>
      </c>
      <c r="C59" s="48" t="s">
        <v>507</v>
      </c>
      <c r="D59" s="43" t="s">
        <v>516</v>
      </c>
      <c r="E59" s="43" t="s">
        <v>521</v>
      </c>
      <c r="F59" s="42"/>
      <c r="G59" s="21" t="s">
        <v>380</v>
      </c>
      <c r="H59" s="9"/>
    </row>
    <row r="60" customFormat="false" ht="15" hidden="false" customHeight="false" outlineLevel="0" collapsed="false">
      <c r="A60" s="42" t="s">
        <v>522</v>
      </c>
      <c r="B60" s="43" t="s">
        <v>523</v>
      </c>
      <c r="C60" s="48" t="s">
        <v>507</v>
      </c>
      <c r="D60" s="43" t="s">
        <v>516</v>
      </c>
      <c r="E60" s="43" t="s">
        <v>523</v>
      </c>
      <c r="F60" s="42"/>
      <c r="G60" s="21" t="s">
        <v>380</v>
      </c>
      <c r="H60" s="9"/>
    </row>
    <row r="61" customFormat="false" ht="15" hidden="false" customHeight="false" outlineLevel="0" collapsed="false">
      <c r="A61" s="42" t="s">
        <v>524</v>
      </c>
      <c r="B61" s="43" t="s">
        <v>525</v>
      </c>
      <c r="C61" s="48" t="s">
        <v>507</v>
      </c>
      <c r="D61" s="43" t="s">
        <v>516</v>
      </c>
      <c r="E61" s="43" t="s">
        <v>525</v>
      </c>
      <c r="F61" s="42"/>
      <c r="G61" s="21" t="s">
        <v>380</v>
      </c>
      <c r="H61" s="9"/>
    </row>
    <row r="62" customFormat="false" ht="15" hidden="false" customHeight="false" outlineLevel="0" collapsed="false">
      <c r="A62" s="42" t="s">
        <v>526</v>
      </c>
      <c r="B62" s="43" t="s">
        <v>527</v>
      </c>
      <c r="C62" s="48" t="s">
        <v>507</v>
      </c>
      <c r="D62" s="43" t="s">
        <v>516</v>
      </c>
      <c r="E62" s="43" t="s">
        <v>528</v>
      </c>
      <c r="F62" s="42"/>
      <c r="G62" s="21" t="s">
        <v>380</v>
      </c>
      <c r="H62" s="9"/>
    </row>
    <row r="63" customFormat="false" ht="15" hidden="false" customHeight="false" outlineLevel="0" collapsed="false">
      <c r="A63" s="42" t="s">
        <v>529</v>
      </c>
      <c r="B63" s="43" t="s">
        <v>530</v>
      </c>
      <c r="C63" s="48" t="s">
        <v>507</v>
      </c>
      <c r="D63" s="43" t="s">
        <v>516</v>
      </c>
      <c r="E63" s="43" t="s">
        <v>530</v>
      </c>
      <c r="F63" s="42"/>
      <c r="G63" s="21" t="s">
        <v>380</v>
      </c>
      <c r="H63" s="9"/>
    </row>
    <row r="64" customFormat="false" ht="15" hidden="false" customHeight="false" outlineLevel="0" collapsed="false">
      <c r="A64" s="42" t="s">
        <v>531</v>
      </c>
      <c r="B64" s="43" t="s">
        <v>532</v>
      </c>
      <c r="C64" s="48" t="s">
        <v>507</v>
      </c>
      <c r="D64" s="43" t="s">
        <v>516</v>
      </c>
      <c r="E64" s="43" t="s">
        <v>532</v>
      </c>
      <c r="F64" s="42"/>
      <c r="G64" s="21" t="s">
        <v>380</v>
      </c>
      <c r="H64" s="9"/>
    </row>
    <row r="65" customFormat="false" ht="15" hidden="false" customHeight="false" outlineLevel="0" collapsed="false">
      <c r="A65" s="42" t="s">
        <v>533</v>
      </c>
      <c r="B65" s="43" t="s">
        <v>534</v>
      </c>
      <c r="C65" s="48" t="s">
        <v>507</v>
      </c>
      <c r="D65" s="43" t="s">
        <v>516</v>
      </c>
      <c r="E65" s="43" t="s">
        <v>534</v>
      </c>
      <c r="F65" s="42"/>
      <c r="G65" s="21" t="s">
        <v>380</v>
      </c>
      <c r="H65" s="9"/>
    </row>
    <row r="66" customFormat="false" ht="15" hidden="false" customHeight="false" outlineLevel="0" collapsed="false">
      <c r="A66" s="42" t="s">
        <v>535</v>
      </c>
      <c r="B66" s="43" t="s">
        <v>536</v>
      </c>
      <c r="C66" s="48" t="s">
        <v>507</v>
      </c>
      <c r="D66" s="43" t="s">
        <v>516</v>
      </c>
      <c r="E66" s="43" t="s">
        <v>537</v>
      </c>
      <c r="F66" s="42"/>
      <c r="G66" s="21" t="s">
        <v>380</v>
      </c>
      <c r="H66" s="9"/>
    </row>
    <row r="67" customFormat="false" ht="15" hidden="false" customHeight="false" outlineLevel="0" collapsed="false">
      <c r="A67" s="42" t="s">
        <v>538</v>
      </c>
      <c r="B67" s="43" t="s">
        <v>539</v>
      </c>
      <c r="C67" s="48" t="s">
        <v>507</v>
      </c>
      <c r="D67" s="43" t="s">
        <v>516</v>
      </c>
      <c r="E67" s="43" t="s">
        <v>540</v>
      </c>
      <c r="F67" s="42"/>
      <c r="G67" s="21" t="s">
        <v>380</v>
      </c>
      <c r="H67" s="9"/>
    </row>
    <row r="68" customFormat="false" ht="15" hidden="false" customHeight="false" outlineLevel="0" collapsed="false">
      <c r="A68" s="42" t="s">
        <v>541</v>
      </c>
      <c r="B68" s="43" t="s">
        <v>542</v>
      </c>
      <c r="C68" s="48" t="s">
        <v>507</v>
      </c>
      <c r="D68" s="43" t="s">
        <v>543</v>
      </c>
      <c r="E68" s="43" t="s">
        <v>542</v>
      </c>
      <c r="F68" s="42"/>
      <c r="G68" s="21" t="s">
        <v>380</v>
      </c>
      <c r="H68" s="9"/>
    </row>
    <row r="69" customFormat="false" ht="15" hidden="false" customHeight="false" outlineLevel="0" collapsed="false">
      <c r="A69" s="42" t="s">
        <v>544</v>
      </c>
      <c r="B69" s="43" t="s">
        <v>545</v>
      </c>
      <c r="C69" s="48" t="s">
        <v>507</v>
      </c>
      <c r="D69" s="43" t="s">
        <v>543</v>
      </c>
      <c r="E69" s="43" t="s">
        <v>546</v>
      </c>
      <c r="F69" s="42"/>
      <c r="G69" s="21" t="s">
        <v>380</v>
      </c>
      <c r="H69" s="9"/>
    </row>
    <row r="70" customFormat="false" ht="15" hidden="false" customHeight="false" outlineLevel="0" collapsed="false">
      <c r="A70" s="42" t="s">
        <v>547</v>
      </c>
      <c r="B70" s="43" t="s">
        <v>548</v>
      </c>
      <c r="C70" s="48" t="s">
        <v>507</v>
      </c>
      <c r="D70" s="43" t="s">
        <v>549</v>
      </c>
      <c r="E70" s="43" t="s">
        <v>548</v>
      </c>
      <c r="F70" s="42"/>
      <c r="G70" s="21" t="s">
        <v>380</v>
      </c>
      <c r="H70" s="9"/>
    </row>
    <row r="71" customFormat="false" ht="15" hidden="false" customHeight="false" outlineLevel="0" collapsed="false">
      <c r="A71" s="42" t="s">
        <v>550</v>
      </c>
      <c r="B71" s="43" t="s">
        <v>551</v>
      </c>
      <c r="C71" s="48" t="s">
        <v>507</v>
      </c>
      <c r="D71" s="43" t="s">
        <v>552</v>
      </c>
      <c r="E71" s="43" t="s">
        <v>551</v>
      </c>
      <c r="F71" s="42"/>
      <c r="G71" s="21" t="s">
        <v>380</v>
      </c>
      <c r="H71" s="9"/>
    </row>
    <row r="72" customFormat="false" ht="15" hidden="false" customHeight="false" outlineLevel="0" collapsed="false">
      <c r="A72" s="42" t="s">
        <v>553</v>
      </c>
      <c r="B72" s="43" t="s">
        <v>554</v>
      </c>
      <c r="C72" s="48" t="s">
        <v>507</v>
      </c>
      <c r="D72" s="43" t="s">
        <v>552</v>
      </c>
      <c r="E72" s="43" t="s">
        <v>554</v>
      </c>
      <c r="F72" s="42"/>
      <c r="G72" s="21" t="s">
        <v>380</v>
      </c>
      <c r="H72" s="9"/>
    </row>
    <row r="73" customFormat="false" ht="15" hidden="false" customHeight="false" outlineLevel="0" collapsed="false">
      <c r="A73" s="49"/>
      <c r="B73" s="49"/>
      <c r="C73" s="49"/>
      <c r="D73" s="49"/>
      <c r="E73" s="49"/>
      <c r="F73" s="49"/>
      <c r="G73" s="49"/>
      <c r="H73" s="49"/>
    </row>
    <row r="74" customFormat="false" ht="15" hidden="false" customHeight="false" outlineLevel="0" collapsed="false">
      <c r="A74" s="49"/>
      <c r="B74" s="49"/>
      <c r="C74" s="49"/>
      <c r="D74" s="49"/>
      <c r="E74" s="49"/>
      <c r="F74" s="49"/>
      <c r="G74" s="49"/>
      <c r="H74" s="49"/>
    </row>
    <row r="75" customFormat="false" ht="15" hidden="false" customHeight="false" outlineLevel="0" collapsed="false">
      <c r="A75" s="49"/>
      <c r="B75" s="49"/>
      <c r="C75" s="49"/>
      <c r="D75" s="49"/>
      <c r="E75" s="49"/>
      <c r="F75" s="49"/>
      <c r="G75" s="49"/>
      <c r="H75" s="49"/>
    </row>
    <row r="76" customFormat="false" ht="15" hidden="false" customHeight="false" outlineLevel="0" collapsed="false">
      <c r="A76" s="49"/>
      <c r="B76" s="49"/>
      <c r="C76" s="49"/>
      <c r="D76" s="49"/>
      <c r="E76" s="49"/>
      <c r="F76" s="49"/>
      <c r="G76" s="49"/>
      <c r="H76" s="49"/>
    </row>
    <row r="77" customFormat="false" ht="15" hidden="false" customHeight="false" outlineLevel="0" collapsed="false">
      <c r="A77" s="49"/>
      <c r="B77" s="49"/>
      <c r="C77" s="49"/>
      <c r="D77" s="49"/>
      <c r="E77" s="49"/>
      <c r="F77" s="49"/>
      <c r="G77" s="49"/>
      <c r="H77" s="49"/>
    </row>
    <row r="78" customFormat="false" ht="15" hidden="false" customHeight="false" outlineLevel="0" collapsed="false">
      <c r="A78" s="49"/>
      <c r="B78" s="49"/>
      <c r="C78" s="49"/>
      <c r="D78" s="49"/>
      <c r="E78" s="49"/>
      <c r="F78" s="49"/>
      <c r="G78" s="49"/>
      <c r="H78" s="49"/>
    </row>
    <row r="79" customFormat="false" ht="15" hidden="false" customHeight="false" outlineLevel="0" collapsed="false">
      <c r="A79" s="49"/>
      <c r="B79" s="49"/>
      <c r="C79" s="49"/>
      <c r="D79" s="49"/>
      <c r="E79" s="49"/>
      <c r="F79" s="49"/>
      <c r="G79" s="49"/>
      <c r="H79" s="49"/>
    </row>
    <row r="80" customFormat="false" ht="15" hidden="false" customHeight="false" outlineLevel="0" collapsed="false">
      <c r="A80" s="49"/>
      <c r="B80" s="49"/>
      <c r="C80" s="49"/>
      <c r="D80" s="49"/>
      <c r="E80" s="49"/>
      <c r="F80" s="49"/>
      <c r="G80" s="49"/>
      <c r="H80" s="49"/>
    </row>
    <row r="81" customFormat="false" ht="15" hidden="false" customHeight="false" outlineLevel="0" collapsed="false">
      <c r="A81" s="49"/>
      <c r="B81" s="49"/>
      <c r="C81" s="49"/>
      <c r="D81" s="49"/>
      <c r="E81" s="49"/>
      <c r="F81" s="49"/>
      <c r="G81" s="49"/>
      <c r="H81" s="49"/>
    </row>
    <row r="82" customFormat="false" ht="15" hidden="false" customHeight="false" outlineLevel="0" collapsed="false">
      <c r="A82" s="49"/>
      <c r="B82" s="49"/>
      <c r="C82" s="49"/>
      <c r="D82" s="49"/>
      <c r="E82" s="49"/>
      <c r="F82" s="49"/>
      <c r="G82" s="49"/>
      <c r="H82" s="49"/>
    </row>
    <row r="83" customFormat="false" ht="15" hidden="false" customHeight="false" outlineLevel="0" collapsed="false">
      <c r="A83" s="49"/>
      <c r="B83" s="49"/>
      <c r="C83" s="49"/>
      <c r="D83" s="49"/>
      <c r="E83" s="49"/>
      <c r="F83" s="49"/>
      <c r="G83" s="49"/>
      <c r="H83" s="49"/>
    </row>
    <row r="84" customFormat="false" ht="15" hidden="false" customHeight="false" outlineLevel="0" collapsed="false">
      <c r="A84" s="49"/>
      <c r="B84" s="49"/>
      <c r="C84" s="49"/>
      <c r="D84" s="49"/>
      <c r="E84" s="49"/>
      <c r="F84" s="49"/>
      <c r="G84" s="49"/>
      <c r="H84" s="49"/>
    </row>
    <row r="85" customFormat="false" ht="15" hidden="false" customHeight="false" outlineLevel="0" collapsed="false">
      <c r="A85" s="49"/>
      <c r="B85" s="49"/>
      <c r="C85" s="49"/>
      <c r="D85" s="49"/>
      <c r="E85" s="49"/>
      <c r="F85" s="49"/>
      <c r="G85" s="49"/>
      <c r="H85" s="49"/>
    </row>
    <row r="86" customFormat="false" ht="15" hidden="false" customHeight="false" outlineLevel="0" collapsed="false">
      <c r="A86" s="49"/>
      <c r="B86" s="49"/>
      <c r="C86" s="49"/>
      <c r="D86" s="49"/>
      <c r="E86" s="49"/>
      <c r="F86" s="49"/>
      <c r="G86" s="49"/>
      <c r="H86" s="49"/>
    </row>
    <row r="87" customFormat="false" ht="15" hidden="false" customHeight="false" outlineLevel="0" collapsed="false">
      <c r="A87" s="49"/>
      <c r="B87" s="49"/>
      <c r="C87" s="49"/>
      <c r="D87" s="49"/>
      <c r="E87" s="49"/>
      <c r="F87" s="49"/>
      <c r="G87" s="49"/>
      <c r="H87" s="49"/>
    </row>
  </sheetData>
  <autoFilter ref="A4:H87"/>
  <dataValidations count="1">
    <dataValidation allowBlank="true" errorStyle="stop" operator="between" showDropDown="false" showErrorMessage="false" showInputMessage="false" sqref="G5:G87" type="list">
      <formula1>"○,×"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5.44"/>
    <col collapsed="false" customWidth="true" hidden="false" outlineLevel="0" max="2" min="2" style="0" width="32.65"/>
    <col collapsed="false" customWidth="true" hidden="false" outlineLevel="0" max="3" min="3" style="0" width="63.12"/>
    <col collapsed="false" customWidth="true" hidden="false" outlineLevel="0" max="4" min="4" style="0" width="23.94"/>
    <col collapsed="false" customWidth="true" hidden="false" outlineLevel="0" max="6" min="5" style="0" width="13.06"/>
    <col collapsed="false" customWidth="true" hidden="false" outlineLevel="0" max="7" min="7" style="0" width="8.7"/>
    <col collapsed="false" customWidth="true" hidden="false" outlineLevel="0" max="8" min="8" style="0" width="28.3"/>
  </cols>
  <sheetData>
    <row r="1" customFormat="false" ht="19.7" hidden="false" customHeight="false" outlineLevel="0" collapsed="false">
      <c r="A1" s="8" t="s">
        <v>555</v>
      </c>
    </row>
    <row r="2" customFormat="false" ht="15" hidden="false" customHeight="false" outlineLevel="0" collapsed="false">
      <c r="A2" s="40" t="s">
        <v>556</v>
      </c>
      <c r="G2" s="41" t="str">
        <f aca="false">COUNTIF(G5:G17,"済")&amp;" / "&amp;COUNTA(B5:B17)&amp;" 完了"</f>
        <v>0 / 13 完了</v>
      </c>
    </row>
    <row r="4" customFormat="false" ht="15" hidden="false" customHeight="false" outlineLevel="0" collapsed="false">
      <c r="A4" s="13" t="s">
        <v>31</v>
      </c>
      <c r="B4" s="14" t="s">
        <v>288</v>
      </c>
      <c r="C4" s="14" t="s">
        <v>557</v>
      </c>
      <c r="D4" s="14" t="s">
        <v>558</v>
      </c>
      <c r="E4" s="14" t="s">
        <v>559</v>
      </c>
      <c r="F4" s="14" t="s">
        <v>560</v>
      </c>
      <c r="G4" s="14" t="s">
        <v>561</v>
      </c>
      <c r="H4" s="14" t="s">
        <v>374</v>
      </c>
    </row>
    <row r="5" customFormat="false" ht="45.75" hidden="false" customHeight="true" outlineLevel="0" collapsed="false">
      <c r="A5" s="16" t="n">
        <v>1</v>
      </c>
      <c r="B5" s="19" t="s">
        <v>562</v>
      </c>
      <c r="C5" s="50" t="s">
        <v>563</v>
      </c>
      <c r="D5" s="19" t="s">
        <v>564</v>
      </c>
      <c r="E5" s="20"/>
      <c r="F5" s="51"/>
      <c r="G5" s="21" t="s">
        <v>565</v>
      </c>
      <c r="H5" s="20"/>
    </row>
    <row r="6" customFormat="false" ht="45.75" hidden="false" customHeight="true" outlineLevel="0" collapsed="false">
      <c r="A6" s="16" t="n">
        <v>2</v>
      </c>
      <c r="B6" s="19" t="s">
        <v>566</v>
      </c>
      <c r="C6" s="50" t="s">
        <v>567</v>
      </c>
      <c r="D6" s="19" t="s">
        <v>568</v>
      </c>
      <c r="E6" s="20"/>
      <c r="F6" s="51"/>
      <c r="G6" s="21" t="s">
        <v>565</v>
      </c>
      <c r="H6" s="20"/>
    </row>
    <row r="7" customFormat="false" ht="27.75" hidden="false" customHeight="true" outlineLevel="0" collapsed="false">
      <c r="A7" s="16" t="n">
        <v>3</v>
      </c>
      <c r="B7" s="19" t="s">
        <v>569</v>
      </c>
      <c r="C7" s="50" t="s">
        <v>570</v>
      </c>
      <c r="D7" s="19" t="s">
        <v>571</v>
      </c>
      <c r="E7" s="20"/>
      <c r="F7" s="51"/>
      <c r="G7" s="21" t="s">
        <v>565</v>
      </c>
      <c r="H7" s="20"/>
    </row>
    <row r="8" customFormat="false" ht="27.75" hidden="false" customHeight="true" outlineLevel="0" collapsed="false">
      <c r="A8" s="16" t="n">
        <v>4</v>
      </c>
      <c r="B8" s="19" t="s">
        <v>572</v>
      </c>
      <c r="C8" s="50" t="s">
        <v>573</v>
      </c>
      <c r="D8" s="19" t="s">
        <v>574</v>
      </c>
      <c r="E8" s="20"/>
      <c r="F8" s="51"/>
      <c r="G8" s="21" t="s">
        <v>565</v>
      </c>
      <c r="H8" s="20"/>
    </row>
    <row r="9" customFormat="false" ht="27.75" hidden="false" customHeight="true" outlineLevel="0" collapsed="false">
      <c r="A9" s="16" t="n">
        <v>5</v>
      </c>
      <c r="B9" s="19" t="s">
        <v>575</v>
      </c>
      <c r="C9" s="50" t="s">
        <v>576</v>
      </c>
      <c r="D9" s="19" t="s">
        <v>577</v>
      </c>
      <c r="E9" s="20"/>
      <c r="F9" s="51"/>
      <c r="G9" s="21" t="s">
        <v>565</v>
      </c>
      <c r="H9" s="20"/>
    </row>
    <row r="10" customFormat="false" ht="27.75" hidden="false" customHeight="true" outlineLevel="0" collapsed="false">
      <c r="A10" s="16" t="n">
        <v>6</v>
      </c>
      <c r="B10" s="19" t="s">
        <v>578</v>
      </c>
      <c r="C10" s="50" t="s">
        <v>579</v>
      </c>
      <c r="D10" s="19" t="s">
        <v>580</v>
      </c>
      <c r="E10" s="20"/>
      <c r="F10" s="51"/>
      <c r="G10" s="21" t="s">
        <v>565</v>
      </c>
      <c r="H10" s="20"/>
    </row>
    <row r="11" customFormat="false" ht="27.75" hidden="false" customHeight="true" outlineLevel="0" collapsed="false">
      <c r="A11" s="16" t="n">
        <v>7</v>
      </c>
      <c r="B11" s="19" t="s">
        <v>581</v>
      </c>
      <c r="C11" s="50" t="s">
        <v>582</v>
      </c>
      <c r="D11" s="19" t="s">
        <v>583</v>
      </c>
      <c r="E11" s="20"/>
      <c r="F11" s="51"/>
      <c r="G11" s="21" t="s">
        <v>565</v>
      </c>
      <c r="H11" s="20"/>
    </row>
    <row r="12" customFormat="false" ht="27.75" hidden="false" customHeight="true" outlineLevel="0" collapsed="false">
      <c r="A12" s="16" t="n">
        <v>8</v>
      </c>
      <c r="B12" s="19" t="s">
        <v>584</v>
      </c>
      <c r="C12" s="50" t="s">
        <v>585</v>
      </c>
      <c r="D12" s="19" t="s">
        <v>586</v>
      </c>
      <c r="E12" s="20"/>
      <c r="F12" s="51"/>
      <c r="G12" s="21" t="s">
        <v>565</v>
      </c>
      <c r="H12" s="20"/>
    </row>
    <row r="13" customFormat="false" ht="27.75" hidden="false" customHeight="true" outlineLevel="0" collapsed="false">
      <c r="A13" s="16" t="n">
        <v>9</v>
      </c>
      <c r="B13" s="19" t="s">
        <v>587</v>
      </c>
      <c r="C13" s="50" t="s">
        <v>588</v>
      </c>
      <c r="D13" s="19" t="s">
        <v>589</v>
      </c>
      <c r="E13" s="20"/>
      <c r="F13" s="51"/>
      <c r="G13" s="21" t="s">
        <v>565</v>
      </c>
      <c r="H13" s="20"/>
    </row>
    <row r="14" customFormat="false" ht="45.75" hidden="false" customHeight="true" outlineLevel="0" collapsed="false">
      <c r="A14" s="16" t="n">
        <v>10</v>
      </c>
      <c r="B14" s="19" t="s">
        <v>590</v>
      </c>
      <c r="C14" s="50" t="s">
        <v>591</v>
      </c>
      <c r="D14" s="19" t="s">
        <v>592</v>
      </c>
      <c r="E14" s="20"/>
      <c r="F14" s="51"/>
      <c r="G14" s="21" t="s">
        <v>565</v>
      </c>
      <c r="H14" s="20"/>
    </row>
    <row r="15" customFormat="false" ht="45.75" hidden="false" customHeight="true" outlineLevel="0" collapsed="false">
      <c r="A15" s="16" t="n">
        <v>11</v>
      </c>
      <c r="B15" s="19" t="s">
        <v>593</v>
      </c>
      <c r="C15" s="50" t="s">
        <v>594</v>
      </c>
      <c r="D15" s="19" t="s">
        <v>595</v>
      </c>
      <c r="E15" s="20"/>
      <c r="F15" s="51"/>
      <c r="G15" s="21" t="s">
        <v>565</v>
      </c>
      <c r="H15" s="20"/>
    </row>
    <row r="16" customFormat="false" ht="27.75" hidden="false" customHeight="true" outlineLevel="0" collapsed="false">
      <c r="A16" s="16" t="n">
        <v>12</v>
      </c>
      <c r="B16" s="19" t="s">
        <v>212</v>
      </c>
      <c r="C16" s="50" t="s">
        <v>596</v>
      </c>
      <c r="D16" s="19" t="s">
        <v>597</v>
      </c>
      <c r="E16" s="20"/>
      <c r="F16" s="51"/>
      <c r="G16" s="21" t="s">
        <v>565</v>
      </c>
      <c r="H16" s="20"/>
    </row>
    <row r="17" customFormat="false" ht="27.75" hidden="false" customHeight="true" outlineLevel="0" collapsed="false">
      <c r="A17" s="16" t="n">
        <v>13</v>
      </c>
      <c r="B17" s="19" t="s">
        <v>598</v>
      </c>
      <c r="C17" s="23" t="s">
        <v>599</v>
      </c>
      <c r="D17" s="19" t="s">
        <v>600</v>
      </c>
      <c r="E17" s="20"/>
      <c r="F17" s="51"/>
      <c r="G17" s="21" t="s">
        <v>565</v>
      </c>
      <c r="H17" s="20"/>
    </row>
  </sheetData>
  <conditionalFormatting sqref="G5:G17">
    <cfRule type="cellIs" priority="2" operator="equal" aboveAverage="0" equalAverage="0" bottom="0" percent="0" rank="0" text="" dxfId="21">
      <formula>"済"</formula>
    </cfRule>
  </conditionalFormatting>
  <dataValidations count="1">
    <dataValidation allowBlank="true" errorStyle="stop" operator="between" showDropDown="false" showErrorMessage="false" showInputMessage="false" sqref="G5:G17" type="list">
      <formula1>"済,未"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30.47"/>
    <col collapsed="false" customWidth="true" hidden="false" outlineLevel="0" max="5" min="2" style="0" width="10.88"/>
    <col collapsed="false" customWidth="true" hidden="false" outlineLevel="0" max="6" min="6" style="0" width="13.06"/>
  </cols>
  <sheetData>
    <row r="1" customFormat="false" ht="21.6" hidden="false" customHeight="false" outlineLevel="0" collapsed="false">
      <c r="A1" s="8" t="s">
        <v>601</v>
      </c>
    </row>
    <row r="2" customFormat="false" ht="15" hidden="false" customHeight="false" outlineLevel="0" collapsed="false">
      <c r="A2" s="40" t="s">
        <v>602</v>
      </c>
    </row>
    <row r="4" customFormat="false" ht="15" hidden="false" customHeight="false" outlineLevel="0" collapsed="false">
      <c r="A4" s="14" t="s">
        <v>32</v>
      </c>
      <c r="B4" s="14" t="s">
        <v>603</v>
      </c>
      <c r="C4" s="14" t="s">
        <v>29</v>
      </c>
      <c r="D4" s="14" t="s">
        <v>604</v>
      </c>
      <c r="E4" s="14" t="s">
        <v>46</v>
      </c>
      <c r="F4" s="14" t="s">
        <v>30</v>
      </c>
    </row>
    <row r="5" customFormat="false" ht="15" hidden="false" customHeight="false" outlineLevel="0" collapsed="false">
      <c r="A5" s="52" t="s">
        <v>605</v>
      </c>
      <c r="B5" s="53" t="n">
        <f aca="false">COUNTIF(設計シート!$B$6:$B$75,"前提条件")</f>
        <v>8</v>
      </c>
      <c r="C5" s="53" t="n">
        <f aca="false">COUNTIFS(設計シート!$B$6:$B$75,"前提条件",設計シート!$H$6:$H$75,"決定")</f>
        <v>0</v>
      </c>
      <c r="D5" s="53" t="n">
        <f aca="false">COUNTIFS(設計シート!$B$6:$B$75,"前提条件",設計シート!$H$6:$H$75,"検討中")</f>
        <v>0</v>
      </c>
      <c r="E5" s="53" t="n">
        <f aca="false">COUNTIFS(設計シート!$B$6:$B$75,"前提条件",設計シート!$H$6:$H$75,"未着手")</f>
        <v>8</v>
      </c>
      <c r="F5" s="54" t="n">
        <f aca="false">IFERROR(C5/B5,0)</f>
        <v>0</v>
      </c>
    </row>
    <row r="6" customFormat="false" ht="15" hidden="false" customHeight="false" outlineLevel="0" collapsed="false">
      <c r="A6" s="55" t="s">
        <v>606</v>
      </c>
      <c r="B6" s="53" t="n">
        <f aca="false">COUNTIF(設計シート!$B$6:$B$75,"帳簿組織")</f>
        <v>6</v>
      </c>
      <c r="C6" s="53" t="n">
        <f aca="false">COUNTIFS(設計シート!$B$6:$B$75,"帳簿組織",設計シート!$H$6:$H$75,"決定")</f>
        <v>0</v>
      </c>
      <c r="D6" s="53" t="n">
        <f aca="false">COUNTIFS(設計シート!$B$6:$B$75,"帳簿組織",設計シート!$H$6:$H$75,"検討中")</f>
        <v>0</v>
      </c>
      <c r="E6" s="53" t="n">
        <f aca="false">COUNTIFS(設計シート!$B$6:$B$75,"帳簿組織",設計シート!$H$6:$H$75,"未着手")</f>
        <v>6</v>
      </c>
      <c r="F6" s="54" t="n">
        <f aca="false">IFERROR(C6/B6,0)</f>
        <v>0</v>
      </c>
    </row>
    <row r="7" customFormat="false" ht="15" hidden="false" customHeight="false" outlineLevel="0" collapsed="false">
      <c r="A7" s="56" t="s">
        <v>607</v>
      </c>
      <c r="B7" s="53" t="n">
        <f aca="false">COUNTIF(設計シート!$B$6:$B$75,"勘定科目体系")</f>
        <v>6</v>
      </c>
      <c r="C7" s="53" t="n">
        <f aca="false">COUNTIFS(設計シート!$B$6:$B$75,"勘定科目体系",設計シート!$H$6:$H$75,"決定")</f>
        <v>0</v>
      </c>
      <c r="D7" s="53" t="n">
        <f aca="false">COUNTIFS(設計シート!$B$6:$B$75,"勘定科目体系",設計シート!$H$6:$H$75,"検討中")</f>
        <v>0</v>
      </c>
      <c r="E7" s="53" t="n">
        <f aca="false">COUNTIFS(設計シート!$B$6:$B$75,"勘定科目体系",設計シート!$H$6:$H$75,"未着手")</f>
        <v>6</v>
      </c>
      <c r="F7" s="54" t="n">
        <f aca="false">IFERROR(C7/B7,0)</f>
        <v>0</v>
      </c>
    </row>
    <row r="8" customFormat="false" ht="15" hidden="false" customHeight="false" outlineLevel="0" collapsed="false">
      <c r="A8" s="57" t="s">
        <v>608</v>
      </c>
      <c r="B8" s="53" t="n">
        <f aca="false">COUNTIF(設計シート!$B$6:$B$75,"会計方針")</f>
        <v>13</v>
      </c>
      <c r="C8" s="53" t="n">
        <f aca="false">COUNTIFS(設計シート!$B$6:$B$75,"会計方針",設計シート!$H$6:$H$75,"決定")</f>
        <v>0</v>
      </c>
      <c r="D8" s="53" t="n">
        <f aca="false">COUNTIFS(設計シート!$B$6:$B$75,"会計方針",設計シート!$H$6:$H$75,"検討中")</f>
        <v>0</v>
      </c>
      <c r="E8" s="53" t="n">
        <f aca="false">COUNTIFS(設計シート!$B$6:$B$75,"会計方針",設計シート!$H$6:$H$75,"未着手")</f>
        <v>13</v>
      </c>
      <c r="F8" s="54" t="n">
        <f aca="false">IFERROR(C8/B8,0)</f>
        <v>0</v>
      </c>
    </row>
    <row r="9" customFormat="false" ht="15" hidden="false" customHeight="false" outlineLevel="0" collapsed="false">
      <c r="A9" s="58" t="s">
        <v>609</v>
      </c>
      <c r="B9" s="53" t="n">
        <f aca="false">COUNTIF(設計シート!$B$6:$B$75,"日常取引の記帳ルール")</f>
        <v>9</v>
      </c>
      <c r="C9" s="53" t="n">
        <f aca="false">COUNTIFS(設計シート!$B$6:$B$75,"日常取引の記帳ルール",設計シート!$H$6:$H$75,"決定")</f>
        <v>0</v>
      </c>
      <c r="D9" s="53" t="n">
        <f aca="false">COUNTIFS(設計シート!$B$6:$B$75,"日常取引の記帳ルール",設計シート!$H$6:$H$75,"検討中")</f>
        <v>0</v>
      </c>
      <c r="E9" s="53" t="n">
        <f aca="false">COUNTIFS(設計シート!$B$6:$B$75,"日常取引の記帳ルール",設計シート!$H$6:$H$75,"未着手")</f>
        <v>9</v>
      </c>
      <c r="F9" s="54" t="n">
        <f aca="false">IFERROR(C9/B9,0)</f>
        <v>0</v>
      </c>
    </row>
    <row r="10" customFormat="false" ht="15" hidden="false" customHeight="false" outlineLevel="0" collapsed="false">
      <c r="A10" s="59" t="s">
        <v>610</v>
      </c>
      <c r="B10" s="53" t="n">
        <f aca="false">COUNTIF(設計シート!$B$6:$B$75,"月次・決算プロセス")</f>
        <v>7</v>
      </c>
      <c r="C10" s="53" t="n">
        <f aca="false">COUNTIFS(設計シート!$B$6:$B$75,"月次・決算プロセス",設計シート!$H$6:$H$75,"決定")</f>
        <v>0</v>
      </c>
      <c r="D10" s="53" t="n">
        <f aca="false">COUNTIFS(設計シート!$B$6:$B$75,"月次・決算プロセス",設計シート!$H$6:$H$75,"検討中")</f>
        <v>0</v>
      </c>
      <c r="E10" s="53" t="n">
        <f aca="false">COUNTIFS(設計シート!$B$6:$B$75,"月次・決算プロセス",設計シート!$H$6:$H$75,"未着手")</f>
        <v>7</v>
      </c>
      <c r="F10" s="54" t="n">
        <f aca="false">IFERROR(C10/B10,0)</f>
        <v>0</v>
      </c>
    </row>
    <row r="11" customFormat="false" ht="15" hidden="false" customHeight="false" outlineLevel="0" collapsed="false">
      <c r="A11" s="60" t="s">
        <v>611</v>
      </c>
      <c r="B11" s="53" t="n">
        <f aca="false">COUNTIF(設計シート!$B$6:$B$75,"財務諸表の表示ルール")</f>
        <v>7</v>
      </c>
      <c r="C11" s="53" t="n">
        <f aca="false">COUNTIFS(設計シート!$B$6:$B$75,"財務諸表の表示ルール",設計シート!$H$6:$H$75,"決定")</f>
        <v>0</v>
      </c>
      <c r="D11" s="53" t="n">
        <f aca="false">COUNTIFS(設計シート!$B$6:$B$75,"財務諸表の表示ルール",設計シート!$H$6:$H$75,"検討中")</f>
        <v>0</v>
      </c>
      <c r="E11" s="53" t="n">
        <f aca="false">COUNTIFS(設計シート!$B$6:$B$75,"財務諸表の表示ルール",設計シート!$H$6:$H$75,"未着手")</f>
        <v>7</v>
      </c>
      <c r="F11" s="54" t="n">
        <f aca="false">IFERROR(C11/B11,0)</f>
        <v>0</v>
      </c>
    </row>
    <row r="12" customFormat="false" ht="15" hidden="false" customHeight="false" outlineLevel="0" collapsed="false">
      <c r="A12" s="61" t="s">
        <v>25</v>
      </c>
      <c r="B12" s="53" t="n">
        <f aca="false">COUNTIF(設計シート!$B$6:$B$75,"統制・保存・税務")</f>
        <v>6</v>
      </c>
      <c r="C12" s="53" t="n">
        <f aca="false">COUNTIFS(設計シート!$B$6:$B$75,"統制・保存・税務",設計シート!$H$6:$H$75,"決定")</f>
        <v>0</v>
      </c>
      <c r="D12" s="53" t="n">
        <f aca="false">COUNTIFS(設計シート!$B$6:$B$75,"統制・保存・税務",設計シート!$H$6:$H$75,"検討中")</f>
        <v>0</v>
      </c>
      <c r="E12" s="53" t="n">
        <f aca="false">COUNTIFS(設計シート!$B$6:$B$75,"統制・保存・税務",設計シート!$H$6:$H$75,"未着手")</f>
        <v>6</v>
      </c>
      <c r="F12" s="54" t="n">
        <f aca="false">IFERROR(C12/B12,0)</f>
        <v>0</v>
      </c>
    </row>
    <row r="13" customFormat="false" ht="15" hidden="false" customHeight="false" outlineLevel="0" collapsed="false">
      <c r="A13" s="62" t="s">
        <v>612</v>
      </c>
      <c r="B13" s="63" t="n">
        <f aca="false">SUM(B5:B12)</f>
        <v>62</v>
      </c>
      <c r="C13" s="63" t="n">
        <f aca="false">SUM(C5:C12)</f>
        <v>0</v>
      </c>
      <c r="D13" s="63" t="n">
        <f aca="false">SUM(D5:D12)</f>
        <v>0</v>
      </c>
      <c r="E13" s="63" t="n">
        <f aca="false">SUM(E5:E12)</f>
        <v>62</v>
      </c>
      <c r="F13" s="64" t="n">
        <f aca="false">IFERROR(C13/B13,0)</f>
        <v>0</v>
      </c>
    </row>
  </sheetData>
  <conditionalFormatting sqref="F5:F13">
    <cfRule type="dataBar" priority="2">
      <dataBar showValue="1" minLength="10" maxLength="90">
        <cfvo type="num" val="0"/>
        <cfvo type="num" val="1"/>
        <color rgb="FF16A34A"/>
      </dataBar>
      <extLst>
        <ext xmlns:x14="http://schemas.microsoft.com/office/spreadsheetml/2009/9/main" uri="{B025F937-C7B1-47D3-B67F-A62EFF666E3E}">
          <x14:id>{3FD26799-4D88-4CFC-92C7-523BE13A55F6}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D26799-4D88-4CFC-92C7-523BE13A55F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6A34A"/>
              <x14:axisColor rgb="FF000000"/>
            </x14:dataBar>
          </x14:cfRule>
          <xm:sqref>F5:F13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2026-10-19T09:52:30Z</dcterms:created>
  <dc:creator>openpyxl</dc:creator>
  <dc:description/>
  <dc:language>ja-JP</dc:language>
  <cp:lastModifiedBy/>
  <dcterms:modified xsi:type="dcterms:W3CDTF">2026-10-19T09:52:30Z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