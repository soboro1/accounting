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ikenoharuhiko/Desktop/　学習/"/>
    </mc:Choice>
  </mc:AlternateContent>
  <xr:revisionPtr revIDLastSave="0" documentId="13_ncr:1_{96CA3672-0199-A145-BEE2-B389397DFF8B}" xr6:coauthVersionLast="47" xr6:coauthVersionMax="47" xr10:uidLastSave="{00000000-0000-0000-0000-000000000000}"/>
  <bookViews>
    <workbookView xWindow="4180" yWindow="600" windowWidth="28720" windowHeight="16680" tabRatio="500" activeTab="3" xr2:uid="{00000000-000D-0000-FFFF-FFFF00000000}"/>
  </bookViews>
  <sheets>
    <sheet name="目次" sheetId="1" r:id="rId1"/>
    <sheet name="問題1" sheetId="2" r:id="rId2"/>
    <sheet name="問題2" sheetId="3" r:id="rId3"/>
    <sheet name="問題3" sheetId="4" r:id="rId4"/>
    <sheet name="問題4" sheetId="5" r:id="rId5"/>
    <sheet name="問題5" sheetId="6" r:id="rId6"/>
    <sheet name="問題6" sheetId="7" r:id="rId7"/>
    <sheet name="問題7" sheetId="8" r:id="rId8"/>
    <sheet name="解答1" sheetId="9" r:id="rId9"/>
    <sheet name="解答2" sheetId="10" r:id="rId10"/>
    <sheet name="解答3" sheetId="11" r:id="rId11"/>
    <sheet name="解答4" sheetId="12" r:id="rId12"/>
    <sheet name="解答5" sheetId="13" r:id="rId13"/>
    <sheet name="解答6" sheetId="14" r:id="rId14"/>
    <sheet name="解答7" sheetId="15" r:id="rId1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0" i="15" l="1"/>
  <c r="C19" i="15"/>
  <c r="C18" i="15"/>
  <c r="E10" i="14"/>
  <c r="E9" i="14"/>
  <c r="E8" i="14"/>
  <c r="E7" i="14"/>
  <c r="E6" i="14"/>
  <c r="E5" i="14"/>
  <c r="D10" i="11"/>
  <c r="D9" i="11"/>
  <c r="D8" i="11"/>
  <c r="D7" i="11"/>
  <c r="D6" i="11"/>
  <c r="D5" i="11"/>
  <c r="C11" i="9"/>
  <c r="C20" i="8"/>
  <c r="C19" i="8"/>
  <c r="C18" i="8"/>
  <c r="E10" i="7"/>
  <c r="E9" i="7"/>
  <c r="E8" i="7"/>
  <c r="E7" i="7"/>
  <c r="E6" i="7"/>
  <c r="E5" i="7"/>
  <c r="D10" i="4"/>
  <c r="D9" i="4"/>
  <c r="D8" i="4"/>
  <c r="D7" i="4"/>
  <c r="D6" i="4"/>
  <c r="D5" i="4"/>
  <c r="C11" i="2"/>
  <c r="F11" i="1"/>
  <c r="F10" i="1"/>
  <c r="F9" i="1"/>
  <c r="F8" i="1"/>
  <c r="F7" i="1"/>
  <c r="F6" i="1"/>
  <c r="F5" i="1"/>
</calcChain>
</file>

<file path=xl/sharedStrings.xml><?xml version="1.0" encoding="utf-8"?>
<sst xmlns="http://schemas.openxmlformats.org/spreadsheetml/2006/main" count="350" uniqueCount="237">
  <si>
    <r>
      <rPr>
        <b/>
        <sz val="14"/>
        <color rgb="FF1F4E78"/>
        <rFont val="Meiryo"/>
        <family val="2"/>
        <charset val="128"/>
      </rPr>
      <t xml:space="preserve">Excel </t>
    </r>
    <r>
      <rPr>
        <b/>
        <sz val="14"/>
        <color rgb="FF1F4E78"/>
        <rFont val="Linux Libertine G"/>
        <family val="2"/>
      </rPr>
      <t>グラフ作成 演習問題</t>
    </r>
  </si>
  <si>
    <t>各「問題」シートのデータから自分でグラフを作成し、「解答」シートと見比べてください。</t>
  </si>
  <si>
    <t>No.</t>
  </si>
  <si>
    <t>グラフの種類</t>
  </si>
  <si>
    <t>テーマ</t>
  </si>
  <si>
    <t>難易度</t>
  </si>
  <si>
    <t>完了</t>
  </si>
  <si>
    <t>問題1</t>
  </si>
  <si>
    <t>集合縦棒グラフ</t>
  </si>
  <si>
    <t>支店別の売上を比較する</t>
  </si>
  <si>
    <t>★</t>
  </si>
  <si>
    <t>問題2</t>
  </si>
  <si>
    <t>折れ線グラフ</t>
  </si>
  <si>
    <r>
      <rPr>
        <sz val="10"/>
        <color rgb="FF000000"/>
        <rFont val="Linux Libertine G"/>
        <family val="2"/>
      </rPr>
      <t>月別売上の推移を見る</t>
    </r>
    <r>
      <rPr>
        <sz val="10"/>
        <color rgb="FF000000"/>
        <rFont val="Meiryo"/>
        <family val="2"/>
        <charset val="128"/>
      </rPr>
      <t>(2</t>
    </r>
    <r>
      <rPr>
        <sz val="10"/>
        <color rgb="FF000000"/>
        <rFont val="Linux Libertine G"/>
        <family val="2"/>
      </rPr>
      <t>系列</t>
    </r>
    <r>
      <rPr>
        <sz val="10"/>
        <color rgb="FF000000"/>
        <rFont val="Meiryo"/>
        <family val="2"/>
        <charset val="128"/>
      </rPr>
      <t>)</t>
    </r>
  </si>
  <si>
    <t>問題3</t>
  </si>
  <si>
    <t>円グラフ</t>
  </si>
  <si>
    <t>経費の構成比を示す</t>
  </si>
  <si>
    <t>問題4</t>
  </si>
  <si>
    <t>積み上げ縦棒グラフ</t>
  </si>
  <si>
    <t>四半期ごとの製品別内訳</t>
  </si>
  <si>
    <t>★★</t>
  </si>
  <si>
    <t>問題5</t>
  </si>
  <si>
    <r>
      <rPr>
        <sz val="10"/>
        <color rgb="FF000000"/>
        <rFont val="Linux Libertine G"/>
        <family val="2"/>
      </rPr>
      <t>横棒グラフ</t>
    </r>
    <r>
      <rPr>
        <sz val="10"/>
        <color rgb="FF000000"/>
        <rFont val="Meiryo"/>
        <family val="2"/>
        <charset val="128"/>
      </rPr>
      <t>(</t>
    </r>
    <r>
      <rPr>
        <sz val="10"/>
        <color rgb="FF000000"/>
        <rFont val="Linux Libertine G"/>
        <family val="2"/>
      </rPr>
      <t>並べ替え</t>
    </r>
    <r>
      <rPr>
        <sz val="10"/>
        <color rgb="FF000000"/>
        <rFont val="Meiryo"/>
        <family val="2"/>
        <charset val="128"/>
      </rPr>
      <t>)</t>
    </r>
  </si>
  <si>
    <t>商品売上ランキングを見やすく</t>
  </si>
  <si>
    <t>問題6</t>
  </si>
  <si>
    <r>
      <rPr>
        <sz val="10"/>
        <color rgb="FF000000"/>
        <rFont val="Linux Libertine G"/>
        <family val="2"/>
      </rPr>
      <t>複合グラフ</t>
    </r>
    <r>
      <rPr>
        <sz val="10"/>
        <color rgb="FF000000"/>
        <rFont val="Meiryo"/>
        <family val="2"/>
        <charset val="128"/>
      </rPr>
      <t>(</t>
    </r>
    <r>
      <rPr>
        <sz val="10"/>
        <color rgb="FF000000"/>
        <rFont val="Linux Libertine G"/>
        <family val="2"/>
      </rPr>
      <t>第</t>
    </r>
    <r>
      <rPr>
        <sz val="10"/>
        <color rgb="FF000000"/>
        <rFont val="Meiryo"/>
        <family val="2"/>
        <charset val="128"/>
      </rPr>
      <t>2</t>
    </r>
    <r>
      <rPr>
        <sz val="10"/>
        <color rgb="FF000000"/>
        <rFont val="Linux Libertine G"/>
        <family val="2"/>
      </rPr>
      <t>軸</t>
    </r>
    <r>
      <rPr>
        <sz val="10"/>
        <color rgb="FF000000"/>
        <rFont val="Meiryo"/>
        <family val="2"/>
        <charset val="128"/>
      </rPr>
      <t>)</t>
    </r>
  </si>
  <si>
    <r>
      <rPr>
        <sz val="10"/>
        <color rgb="FF000000"/>
        <rFont val="Linux Libertine G"/>
        <family val="2"/>
      </rPr>
      <t>売上</t>
    </r>
    <r>
      <rPr>
        <sz val="10"/>
        <color rgb="FF000000"/>
        <rFont val="Meiryo"/>
        <family val="2"/>
        <charset val="128"/>
      </rPr>
      <t>(</t>
    </r>
    <r>
      <rPr>
        <sz val="10"/>
        <color rgb="FF000000"/>
        <rFont val="Linux Libertine G"/>
        <family val="2"/>
      </rPr>
      <t>棒</t>
    </r>
    <r>
      <rPr>
        <sz val="10"/>
        <color rgb="FF000000"/>
        <rFont val="Meiryo"/>
        <family val="2"/>
        <charset val="128"/>
      </rPr>
      <t>)</t>
    </r>
    <r>
      <rPr>
        <sz val="10"/>
        <color rgb="FF000000"/>
        <rFont val="Linux Libertine G"/>
        <family val="2"/>
      </rPr>
      <t>と利益率</t>
    </r>
    <r>
      <rPr>
        <sz val="10"/>
        <color rgb="FF000000"/>
        <rFont val="Meiryo"/>
        <family val="2"/>
        <charset val="128"/>
      </rPr>
      <t>(</t>
    </r>
    <r>
      <rPr>
        <sz val="10"/>
        <color rgb="FF000000"/>
        <rFont val="Linux Libertine G"/>
        <family val="2"/>
      </rPr>
      <t>折れ線</t>
    </r>
    <r>
      <rPr>
        <sz val="10"/>
        <color rgb="FF000000"/>
        <rFont val="Meiryo"/>
        <family val="2"/>
        <charset val="128"/>
      </rPr>
      <t>)</t>
    </r>
    <r>
      <rPr>
        <sz val="10"/>
        <color rgb="FF000000"/>
        <rFont val="Linux Libertine G"/>
        <family val="2"/>
      </rPr>
      <t>を</t>
    </r>
    <r>
      <rPr>
        <sz val="10"/>
        <color rgb="FF000000"/>
        <rFont val="Meiryo"/>
        <family val="2"/>
        <charset val="128"/>
      </rPr>
      <t>1</t>
    </r>
    <r>
      <rPr>
        <sz val="10"/>
        <color rgb="FF000000"/>
        <rFont val="Linux Libertine G"/>
        <family val="2"/>
      </rPr>
      <t>つに</t>
    </r>
  </si>
  <si>
    <t>★★★</t>
  </si>
  <si>
    <t>問題7</t>
  </si>
  <si>
    <r>
      <rPr>
        <sz val="10"/>
        <color rgb="FF000000"/>
        <rFont val="Linux Libertine G"/>
        <family val="2"/>
      </rPr>
      <t>散布図</t>
    </r>
    <r>
      <rPr>
        <sz val="10"/>
        <color rgb="FF000000"/>
        <rFont val="Meiryo"/>
        <family val="2"/>
        <charset val="128"/>
      </rPr>
      <t>+</t>
    </r>
    <r>
      <rPr>
        <sz val="10"/>
        <color rgb="FF000000"/>
        <rFont val="Linux Libertine G"/>
        <family val="2"/>
      </rPr>
      <t>近似曲線</t>
    </r>
  </si>
  <si>
    <t>広告費と売上の関係を分析</t>
  </si>
  <si>
    <t>【使い方】</t>
  </si>
  <si>
    <r>
      <rPr>
        <sz val="10"/>
        <color rgb="FF000000"/>
        <rFont val="Meiryo"/>
        <family val="2"/>
        <charset val="128"/>
      </rPr>
      <t xml:space="preserve">1. </t>
    </r>
    <r>
      <rPr>
        <sz val="10"/>
        <color rgb="FF000000"/>
        <rFont val="Linux Libertine G"/>
        <family val="2"/>
      </rPr>
      <t>各「問題」シートの問題文を読み、表のデータを使ってグラフを作成します</t>
    </r>
    <r>
      <rPr>
        <sz val="10"/>
        <color rgb="FF000000"/>
        <rFont val="Meiryo"/>
        <family val="2"/>
        <charset val="128"/>
      </rPr>
      <t>(</t>
    </r>
    <r>
      <rPr>
        <sz val="10"/>
        <color rgb="FF000000"/>
        <rFont val="Linux Libertine G"/>
        <family val="2"/>
      </rPr>
      <t>グラフはデータの右側に配置</t>
    </r>
    <r>
      <rPr>
        <sz val="10"/>
        <color rgb="FF000000"/>
        <rFont val="Meiryo"/>
        <family val="2"/>
        <charset val="128"/>
      </rPr>
      <t>)</t>
    </r>
    <r>
      <rPr>
        <sz val="10"/>
        <color rgb="FF000000"/>
        <rFont val="Linux Libertine G"/>
        <family val="2"/>
      </rPr>
      <t>。</t>
    </r>
  </si>
  <si>
    <r>
      <rPr>
        <sz val="10"/>
        <color rgb="FF000000"/>
        <rFont val="Meiryo"/>
        <family val="2"/>
        <charset val="128"/>
      </rPr>
      <t xml:space="preserve">2. </t>
    </r>
    <r>
      <rPr>
        <sz val="10"/>
        <color rgb="FF000000"/>
        <rFont val="Linux Libertine G"/>
        <family val="2"/>
      </rPr>
      <t>困ったら【ヒント】の操作手順を参照してください。</t>
    </r>
  </si>
  <si>
    <r>
      <rPr>
        <sz val="10"/>
        <color rgb="FF000000"/>
        <rFont val="Meiryo"/>
        <family val="2"/>
        <charset val="128"/>
      </rPr>
      <t xml:space="preserve">3. </t>
    </r>
    <r>
      <rPr>
        <sz val="10"/>
        <color rgb="FF000000"/>
        <rFont val="Linux Libertine G"/>
        <family val="2"/>
      </rPr>
      <t>作成後、【セルフチェック】の各項目を確認し、黄色セルに ○ を入力します</t>
    </r>
    <r>
      <rPr>
        <sz val="10"/>
        <color rgb="FF000000"/>
        <rFont val="Meiryo"/>
        <family val="2"/>
        <charset val="128"/>
      </rPr>
      <t>(</t>
    </r>
    <r>
      <rPr>
        <sz val="10"/>
        <color rgb="FF000000"/>
        <rFont val="Linux Libertine G"/>
        <family val="2"/>
      </rPr>
      <t>目次の「完了」欄に反映</t>
    </r>
    <r>
      <rPr>
        <sz val="10"/>
        <color rgb="FF000000"/>
        <rFont val="Meiryo"/>
        <family val="2"/>
        <charset val="128"/>
      </rPr>
      <t>)</t>
    </r>
    <r>
      <rPr>
        <sz val="10"/>
        <color rgb="FF000000"/>
        <rFont val="Linux Libertine G"/>
        <family val="2"/>
      </rPr>
      <t>。</t>
    </r>
  </si>
  <si>
    <r>
      <rPr>
        <sz val="10"/>
        <color rgb="FF000000"/>
        <rFont val="Meiryo"/>
        <family val="2"/>
        <charset val="128"/>
      </rPr>
      <t xml:space="preserve">4. </t>
    </r>
    <r>
      <rPr>
        <sz val="10"/>
        <color rgb="FF000000"/>
        <rFont val="Linux Libertine G"/>
        <family val="2"/>
      </rPr>
      <t>「解答」シートに完成例があります。見た目の細部</t>
    </r>
    <r>
      <rPr>
        <sz val="10"/>
        <color rgb="FF000000"/>
        <rFont val="Meiryo"/>
        <family val="2"/>
        <charset val="128"/>
      </rPr>
      <t>(</t>
    </r>
    <r>
      <rPr>
        <sz val="10"/>
        <color rgb="FF000000"/>
        <rFont val="Linux Libertine G"/>
        <family val="2"/>
      </rPr>
      <t>色など</t>
    </r>
    <r>
      <rPr>
        <sz val="10"/>
        <color rgb="FF000000"/>
        <rFont val="Meiryo"/>
        <family val="2"/>
        <charset val="128"/>
      </rPr>
      <t>)</t>
    </r>
    <r>
      <rPr>
        <sz val="10"/>
        <color rgb="FF000000"/>
        <rFont val="Linux Libertine G"/>
        <family val="2"/>
      </rPr>
      <t>は一致しなくて</t>
    </r>
    <r>
      <rPr>
        <sz val="10"/>
        <color rgb="FF000000"/>
        <rFont val="Meiryo"/>
        <family val="2"/>
        <charset val="128"/>
      </rPr>
      <t>OK</t>
    </r>
    <r>
      <rPr>
        <sz val="10"/>
        <color rgb="FF000000"/>
        <rFont val="Linux Libertine G"/>
        <family val="2"/>
      </rPr>
      <t>です。</t>
    </r>
  </si>
  <si>
    <t>※ 青字の数値は入力データです。値を変えるとグラフが連動することも確認してみましょう。</t>
  </si>
  <si>
    <r>
      <rPr>
        <sz val="10"/>
        <color rgb="FF000000"/>
        <rFont val="Linux Libertine G"/>
        <family val="2"/>
      </rPr>
      <t xml:space="preserve">※ ヒントは </t>
    </r>
    <r>
      <rPr>
        <sz val="10"/>
        <color rgb="FF000000"/>
        <rFont val="Meiryo"/>
        <family val="2"/>
        <charset val="128"/>
      </rPr>
      <t xml:space="preserve">Mac </t>
    </r>
    <r>
      <rPr>
        <sz val="10"/>
        <color rgb="FF000000"/>
        <rFont val="Linux Libertine G"/>
        <family val="2"/>
      </rPr>
      <t xml:space="preserve">版 </t>
    </r>
    <r>
      <rPr>
        <sz val="10"/>
        <color rgb="FF000000"/>
        <rFont val="Meiryo"/>
        <family val="2"/>
        <charset val="128"/>
      </rPr>
      <t xml:space="preserve">Excel </t>
    </r>
    <r>
      <rPr>
        <sz val="10"/>
        <color rgb="FF000000"/>
        <rFont val="Linux Libertine G"/>
        <family val="2"/>
      </rPr>
      <t>の操作です。グラフを選ぶと上部に</t>
    </r>
    <r>
      <rPr>
        <sz val="10"/>
        <color rgb="FF000000"/>
        <rFont val="Meiryo"/>
        <family val="2"/>
        <charset val="128"/>
      </rPr>
      <t>[</t>
    </r>
    <r>
      <rPr>
        <sz val="10"/>
        <color rgb="FF000000"/>
        <rFont val="Linux Libertine G"/>
        <family val="2"/>
      </rPr>
      <t>グラフのデザイン</t>
    </r>
    <r>
      <rPr>
        <sz val="10"/>
        <color rgb="FF000000"/>
        <rFont val="Meiryo"/>
        <family val="2"/>
        <charset val="128"/>
      </rPr>
      <t>]</t>
    </r>
    <r>
      <rPr>
        <sz val="10"/>
        <color rgb="FF000000"/>
        <rFont val="Linux Libertine G"/>
        <family val="2"/>
      </rPr>
      <t>タブと</t>
    </r>
    <r>
      <rPr>
        <sz val="10"/>
        <color rgb="FF000000"/>
        <rFont val="Meiryo"/>
        <family val="2"/>
        <charset val="128"/>
      </rPr>
      <t>[</t>
    </r>
    <r>
      <rPr>
        <sz val="10"/>
        <color rgb="FF000000"/>
        <rFont val="Linux Libertine G"/>
        <family val="2"/>
      </rPr>
      <t>書式</t>
    </r>
    <r>
      <rPr>
        <sz val="10"/>
        <color rgb="FF000000"/>
        <rFont val="Meiryo"/>
        <family val="2"/>
        <charset val="128"/>
      </rPr>
      <t>]</t>
    </r>
    <r>
      <rPr>
        <sz val="10"/>
        <color rgb="FF000000"/>
        <rFont val="Linux Libertine G"/>
        <family val="2"/>
      </rPr>
      <t>タブが現れます。</t>
    </r>
  </si>
  <si>
    <r>
      <rPr>
        <sz val="10"/>
        <color rgb="FF000000"/>
        <rFont val="Linux Libertine G"/>
        <family val="2"/>
      </rPr>
      <t xml:space="preserve">※ 右クリック </t>
    </r>
    <r>
      <rPr>
        <sz val="10"/>
        <color rgb="FF000000"/>
        <rFont val="Meiryo"/>
        <family val="2"/>
        <charset val="128"/>
      </rPr>
      <t>= control+</t>
    </r>
    <r>
      <rPr>
        <sz val="10"/>
        <color rgb="FF000000"/>
        <rFont val="Linux Libertine G"/>
        <family val="2"/>
      </rPr>
      <t>クリック、またはトラックパッドの</t>
    </r>
    <r>
      <rPr>
        <sz val="10"/>
        <color rgb="FF000000"/>
        <rFont val="Meiryo"/>
        <family val="2"/>
        <charset val="128"/>
      </rPr>
      <t>2</t>
    </r>
    <r>
      <rPr>
        <sz val="10"/>
        <color rgb="FF000000"/>
        <rFont val="Linux Libertine G"/>
        <family val="2"/>
      </rPr>
      <t>本指クリック。</t>
    </r>
  </si>
  <si>
    <r>
      <rPr>
        <sz val="10"/>
        <color rgb="FF000000"/>
        <rFont val="Linux Libertine G"/>
        <family val="2"/>
      </rPr>
      <t xml:space="preserve">※ 軸ラベル・データラベル・凡例・近似曲線などは、すべて </t>
    </r>
    <r>
      <rPr>
        <sz val="10"/>
        <color rgb="FF000000"/>
        <rFont val="Meiryo"/>
        <family val="2"/>
        <charset val="128"/>
      </rPr>
      <t>[</t>
    </r>
    <r>
      <rPr>
        <sz val="10"/>
        <color rgb="FF000000"/>
        <rFont val="Linux Libertine G"/>
        <family val="2"/>
      </rPr>
      <t>グラフのデザイン</t>
    </r>
    <r>
      <rPr>
        <sz val="10"/>
        <color rgb="FF000000"/>
        <rFont val="Meiryo"/>
        <family val="2"/>
        <charset val="128"/>
      </rPr>
      <t>] → [</t>
    </r>
    <r>
      <rPr>
        <sz val="10"/>
        <color rgb="FF000000"/>
        <rFont val="Linux Libertine G"/>
        <family val="2"/>
      </rPr>
      <t>グラフ要素を追加</t>
    </r>
    <r>
      <rPr>
        <sz val="10"/>
        <color rgb="FF000000"/>
        <rFont val="Meiryo"/>
        <family val="2"/>
        <charset val="128"/>
      </rPr>
      <t xml:space="preserve">] </t>
    </r>
    <r>
      <rPr>
        <sz val="10"/>
        <color rgb="FF000000"/>
        <rFont val="Linux Libertine G"/>
        <family val="2"/>
      </rPr>
      <t>から付けられます。</t>
    </r>
  </si>
  <si>
    <r>
      <rPr>
        <b/>
        <sz val="14"/>
        <color rgb="FF1F4E78"/>
        <rFont val="Linux Libertine G"/>
        <family val="2"/>
      </rPr>
      <t>問題</t>
    </r>
    <r>
      <rPr>
        <b/>
        <sz val="14"/>
        <color rgb="FF1F4E78"/>
        <rFont val="Meiryo"/>
        <family val="2"/>
        <charset val="128"/>
      </rPr>
      <t xml:space="preserve">1 </t>
    </r>
    <r>
      <rPr>
        <b/>
        <sz val="14"/>
        <color rgb="FF1F4E78"/>
        <rFont val="Linux Libertine G"/>
        <family val="2"/>
      </rPr>
      <t>集合縦棒グラフ</t>
    </r>
  </si>
  <si>
    <t>難易度 ★</t>
  </si>
  <si>
    <t>支店</t>
  </si>
  <si>
    <r>
      <rPr>
        <b/>
        <sz val="10"/>
        <color rgb="FFFFFFFF"/>
        <rFont val="Linux Libertine G"/>
        <family val="2"/>
      </rPr>
      <t>売上</t>
    </r>
    <r>
      <rPr>
        <b/>
        <sz val="10"/>
        <color rgb="FFFFFFFF"/>
        <rFont val="Meiryo"/>
        <family val="2"/>
        <charset val="128"/>
      </rPr>
      <t>(</t>
    </r>
    <r>
      <rPr>
        <b/>
        <sz val="10"/>
        <color rgb="FFFFFFFF"/>
        <rFont val="Linux Libertine G"/>
        <family val="2"/>
      </rPr>
      <t>千円</t>
    </r>
    <r>
      <rPr>
        <b/>
        <sz val="10"/>
        <color rgb="FFFFFFFF"/>
        <rFont val="Meiryo"/>
        <family val="2"/>
        <charset val="128"/>
      </rPr>
      <t>)</t>
    </r>
  </si>
  <si>
    <t>札幌</t>
  </si>
  <si>
    <t>仙台</t>
  </si>
  <si>
    <t>東京</t>
  </si>
  <si>
    <t>名古屋</t>
  </si>
  <si>
    <t>大阪</t>
  </si>
  <si>
    <t>福岡</t>
  </si>
  <si>
    <t>合計</t>
  </si>
  <si>
    <t>【問題】</t>
  </si>
  <si>
    <r>
      <rPr>
        <sz val="10"/>
        <color rgb="FF000000"/>
        <rFont val="Meiryo"/>
        <family val="2"/>
        <charset val="128"/>
      </rPr>
      <t xml:space="preserve">B4:C10 </t>
    </r>
    <r>
      <rPr>
        <sz val="10"/>
        <color rgb="FF000000"/>
        <rFont val="Linux Libertine G"/>
        <family val="2"/>
      </rPr>
      <t>のデータ</t>
    </r>
    <r>
      <rPr>
        <sz val="10"/>
        <color rgb="FF000000"/>
        <rFont val="Meiryo"/>
        <family val="2"/>
        <charset val="128"/>
      </rPr>
      <t>(</t>
    </r>
    <r>
      <rPr>
        <sz val="10"/>
        <color rgb="FF000000"/>
        <rFont val="Linux Libertine G"/>
        <family val="2"/>
      </rPr>
      <t>合計行は含めない</t>
    </r>
    <r>
      <rPr>
        <sz val="10"/>
        <color rgb="FF000000"/>
        <rFont val="Meiryo"/>
        <family val="2"/>
        <charset val="128"/>
      </rPr>
      <t>)</t>
    </r>
    <r>
      <rPr>
        <sz val="10"/>
        <color rgb="FF000000"/>
        <rFont val="Linux Libertine G"/>
        <family val="2"/>
      </rPr>
      <t>から「集合縦棒グラフ」を作成しなさい。</t>
    </r>
  </si>
  <si>
    <r>
      <rPr>
        <sz val="10"/>
        <color rgb="FF000000"/>
        <rFont val="Linux Libertine G"/>
        <family val="2"/>
      </rPr>
      <t xml:space="preserve">  ・グラフタイトル</t>
    </r>
    <r>
      <rPr>
        <sz val="10"/>
        <color rgb="FF000000"/>
        <rFont val="Meiryo"/>
        <family val="2"/>
        <charset val="128"/>
      </rPr>
      <t>:</t>
    </r>
    <r>
      <rPr>
        <sz val="10"/>
        <color rgb="FF000000"/>
        <rFont val="Linux Libertine G"/>
        <family val="2"/>
      </rPr>
      <t>「支店別売上」</t>
    </r>
  </si>
  <si>
    <r>
      <rPr>
        <sz val="10"/>
        <color rgb="FF000000"/>
        <rFont val="Linux Libertine G"/>
        <family val="2"/>
      </rPr>
      <t xml:space="preserve">  ・縦軸ラベル</t>
    </r>
    <r>
      <rPr>
        <sz val="10"/>
        <color rgb="FF000000"/>
        <rFont val="Meiryo"/>
        <family val="2"/>
        <charset val="128"/>
      </rPr>
      <t>:</t>
    </r>
    <r>
      <rPr>
        <sz val="10"/>
        <color rgb="FF000000"/>
        <rFont val="Linux Libertine G"/>
        <family val="2"/>
      </rPr>
      <t>「売上</t>
    </r>
    <r>
      <rPr>
        <sz val="10"/>
        <color rgb="FF000000"/>
        <rFont val="Meiryo"/>
        <family val="2"/>
        <charset val="128"/>
      </rPr>
      <t>(</t>
    </r>
    <r>
      <rPr>
        <sz val="10"/>
        <color rgb="FF000000"/>
        <rFont val="Linux Libertine G"/>
        <family val="2"/>
      </rPr>
      <t>千円</t>
    </r>
    <r>
      <rPr>
        <sz val="10"/>
        <color rgb="FF000000"/>
        <rFont val="Meiryo"/>
        <family val="2"/>
        <charset val="128"/>
      </rPr>
      <t>)</t>
    </r>
    <r>
      <rPr>
        <sz val="10"/>
        <color rgb="FF000000"/>
        <rFont val="Linux Libertine G"/>
        <family val="2"/>
      </rPr>
      <t>」、横軸ラベル</t>
    </r>
    <r>
      <rPr>
        <sz val="10"/>
        <color rgb="FF000000"/>
        <rFont val="Meiryo"/>
        <family val="2"/>
        <charset val="128"/>
      </rPr>
      <t>:</t>
    </r>
    <r>
      <rPr>
        <sz val="10"/>
        <color rgb="FF000000"/>
        <rFont val="Linux Libertine G"/>
        <family val="2"/>
      </rPr>
      <t>「支店」</t>
    </r>
  </si>
  <si>
    <r>
      <rPr>
        <sz val="10"/>
        <color rgb="FF000000"/>
        <rFont val="Linux Libertine G"/>
        <family val="2"/>
      </rPr>
      <t xml:space="preserve">  ・凡例は非表示、各棒の上にデータラベル</t>
    </r>
    <r>
      <rPr>
        <sz val="10"/>
        <color rgb="FF000000"/>
        <rFont val="Meiryo"/>
        <family val="2"/>
        <charset val="128"/>
      </rPr>
      <t>(</t>
    </r>
    <r>
      <rPr>
        <sz val="10"/>
        <color rgb="FF000000"/>
        <rFont val="Linux Libertine G"/>
        <family val="2"/>
      </rPr>
      <t>値</t>
    </r>
    <r>
      <rPr>
        <sz val="10"/>
        <color rgb="FF000000"/>
        <rFont val="Meiryo"/>
        <family val="2"/>
        <charset val="128"/>
      </rPr>
      <t>)</t>
    </r>
    <r>
      <rPr>
        <sz val="10"/>
        <color rgb="FF000000"/>
        <rFont val="Linux Libertine G"/>
        <family val="2"/>
      </rPr>
      <t>を表示</t>
    </r>
  </si>
  <si>
    <r>
      <rPr>
        <b/>
        <sz val="11"/>
        <color rgb="FFC00000"/>
        <rFont val="Linux Libertine G"/>
        <family val="2"/>
      </rPr>
      <t>【ヒント</t>
    </r>
    <r>
      <rPr>
        <b/>
        <sz val="11"/>
        <color rgb="FFC00000"/>
        <rFont val="Meiryo"/>
        <family val="2"/>
        <charset val="128"/>
      </rPr>
      <t>(</t>
    </r>
    <r>
      <rPr>
        <b/>
        <sz val="11"/>
        <color rgb="FFC00000"/>
        <rFont val="Linux Libertine G"/>
        <family val="2"/>
      </rPr>
      <t>操作手順</t>
    </r>
    <r>
      <rPr>
        <b/>
        <sz val="11"/>
        <color rgb="FFC00000"/>
        <rFont val="Meiryo"/>
        <family val="2"/>
        <charset val="128"/>
      </rPr>
      <t>)</t>
    </r>
    <r>
      <rPr>
        <b/>
        <sz val="11"/>
        <color rgb="FFC00000"/>
        <rFont val="Linux Libertine G"/>
        <family val="2"/>
      </rPr>
      <t>】</t>
    </r>
  </si>
  <si>
    <r>
      <rPr>
        <sz val="9"/>
        <color rgb="FF595959"/>
        <rFont val="Meiryo"/>
        <family val="2"/>
        <charset val="128"/>
      </rPr>
      <t xml:space="preserve">B4:C10 </t>
    </r>
    <r>
      <rPr>
        <sz val="9"/>
        <color rgb="FF595959"/>
        <rFont val="Linux Libertine G"/>
        <family val="2"/>
      </rPr>
      <t xml:space="preserve">を選択 → </t>
    </r>
    <r>
      <rPr>
        <sz val="9"/>
        <color rgb="FF595959"/>
        <rFont val="Meiryo"/>
        <family val="2"/>
        <charset val="128"/>
      </rPr>
      <t>[</t>
    </r>
    <r>
      <rPr>
        <sz val="9"/>
        <color rgb="FF595959"/>
        <rFont val="Linux Libertine G"/>
        <family val="2"/>
      </rPr>
      <t>挿入</t>
    </r>
    <r>
      <rPr>
        <sz val="9"/>
        <color rgb="FF595959"/>
        <rFont val="Meiryo"/>
        <family val="2"/>
        <charset val="128"/>
      </rPr>
      <t>]</t>
    </r>
    <r>
      <rPr>
        <sz val="9"/>
        <color rgb="FF595959"/>
        <rFont val="Linux Libertine G"/>
        <family val="2"/>
      </rPr>
      <t xml:space="preserve">タブ → 縦棒グラフのアイコン → </t>
    </r>
    <r>
      <rPr>
        <sz val="9"/>
        <color rgb="FF595959"/>
        <rFont val="Meiryo"/>
        <family val="2"/>
        <charset val="128"/>
      </rPr>
      <t>[</t>
    </r>
    <r>
      <rPr>
        <sz val="9"/>
        <color rgb="FF595959"/>
        <rFont val="Linux Libertine G"/>
        <family val="2"/>
      </rPr>
      <t>集合縦棒</t>
    </r>
    <r>
      <rPr>
        <sz val="9"/>
        <color rgb="FF595959"/>
        <rFont val="Meiryo"/>
        <family val="2"/>
        <charset val="128"/>
      </rPr>
      <t>]</t>
    </r>
  </si>
  <si>
    <r>
      <rPr>
        <sz val="9"/>
        <color rgb="FF595959"/>
        <rFont val="Linux Libertine G"/>
        <family val="2"/>
      </rPr>
      <t xml:space="preserve">グラフの余白をクリックして選択 → </t>
    </r>
    <r>
      <rPr>
        <sz val="9"/>
        <color rgb="FF595959"/>
        <rFont val="Meiryo"/>
        <family val="2"/>
        <charset val="128"/>
      </rPr>
      <t>[</t>
    </r>
    <r>
      <rPr>
        <sz val="9"/>
        <color rgb="FF595959"/>
        <rFont val="Linux Libertine G"/>
        <family val="2"/>
      </rPr>
      <t>グラフのデザイン</t>
    </r>
    <r>
      <rPr>
        <sz val="9"/>
        <color rgb="FF595959"/>
        <rFont val="Meiryo"/>
        <family val="2"/>
        <charset val="128"/>
      </rPr>
      <t>]</t>
    </r>
    <r>
      <rPr>
        <sz val="9"/>
        <color rgb="FF595959"/>
        <rFont val="Linux Libertine G"/>
        <family val="2"/>
      </rPr>
      <t>タブ → 左端の</t>
    </r>
    <r>
      <rPr>
        <sz val="9"/>
        <color rgb="FF595959"/>
        <rFont val="Meiryo"/>
        <family val="2"/>
        <charset val="128"/>
      </rPr>
      <t>[</t>
    </r>
    <r>
      <rPr>
        <sz val="9"/>
        <color rgb="FF595959"/>
        <rFont val="Linux Libertine G"/>
        <family val="2"/>
      </rPr>
      <t>グラフ要素を追加</t>
    </r>
    <r>
      <rPr>
        <sz val="9"/>
        <color rgb="FF595959"/>
        <rFont val="Meiryo"/>
        <family val="2"/>
        <charset val="128"/>
      </rPr>
      <t>]</t>
    </r>
  </si>
  <si>
    <r>
      <rPr>
        <sz val="9"/>
        <color rgb="FF595959"/>
        <rFont val="Linux Libertine G"/>
        <family val="2"/>
      </rPr>
      <t xml:space="preserve">  ・</t>
    </r>
    <r>
      <rPr>
        <sz val="9"/>
        <color rgb="FF595959"/>
        <rFont val="Meiryo"/>
        <family val="2"/>
        <charset val="128"/>
      </rPr>
      <t>[</t>
    </r>
    <r>
      <rPr>
        <sz val="9"/>
        <color rgb="FF595959"/>
        <rFont val="Linux Libertine G"/>
        <family val="2"/>
      </rPr>
      <t>軸ラベル</t>
    </r>
    <r>
      <rPr>
        <sz val="9"/>
        <color rgb="FF595959"/>
        <rFont val="Meiryo"/>
        <family val="2"/>
        <charset val="128"/>
      </rPr>
      <t>] → [</t>
    </r>
    <r>
      <rPr>
        <sz val="9"/>
        <color rgb="FF595959"/>
        <rFont val="Linux Libertine G"/>
        <family val="2"/>
      </rPr>
      <t>第</t>
    </r>
    <r>
      <rPr>
        <sz val="9"/>
        <color rgb="FF595959"/>
        <rFont val="Meiryo"/>
        <family val="2"/>
        <charset val="128"/>
      </rPr>
      <t>1</t>
    </r>
    <r>
      <rPr>
        <sz val="9"/>
        <color rgb="FF595959"/>
        <rFont val="Linux Libertine G"/>
        <family val="2"/>
      </rPr>
      <t>横軸</t>
    </r>
    <r>
      <rPr>
        <sz val="9"/>
        <color rgb="FF595959"/>
        <rFont val="Meiryo"/>
        <family val="2"/>
        <charset val="128"/>
      </rPr>
      <t>]</t>
    </r>
    <r>
      <rPr>
        <sz val="9"/>
        <color rgb="FF595959"/>
        <rFont val="Linux Libertine G"/>
        <family val="2"/>
      </rPr>
      <t xml:space="preserve">、もう一度 </t>
    </r>
    <r>
      <rPr>
        <sz val="9"/>
        <color rgb="FF595959"/>
        <rFont val="Meiryo"/>
        <family val="2"/>
        <charset val="128"/>
      </rPr>
      <t>[</t>
    </r>
    <r>
      <rPr>
        <sz val="9"/>
        <color rgb="FF595959"/>
        <rFont val="Linux Libertine G"/>
        <family val="2"/>
      </rPr>
      <t>軸ラベル</t>
    </r>
    <r>
      <rPr>
        <sz val="9"/>
        <color rgb="FF595959"/>
        <rFont val="Meiryo"/>
        <family val="2"/>
        <charset val="128"/>
      </rPr>
      <t>] → [</t>
    </r>
    <r>
      <rPr>
        <sz val="9"/>
        <color rgb="FF595959"/>
        <rFont val="Linux Libertine G"/>
        <family val="2"/>
      </rPr>
      <t>第</t>
    </r>
    <r>
      <rPr>
        <sz val="9"/>
        <color rgb="FF595959"/>
        <rFont val="Meiryo"/>
        <family val="2"/>
        <charset val="128"/>
      </rPr>
      <t>1</t>
    </r>
    <r>
      <rPr>
        <sz val="9"/>
        <color rgb="FF595959"/>
        <rFont val="Linux Libertine G"/>
        <family val="2"/>
      </rPr>
      <t>縦軸</t>
    </r>
    <r>
      <rPr>
        <sz val="9"/>
        <color rgb="FF595959"/>
        <rFont val="Meiryo"/>
        <family val="2"/>
        <charset val="128"/>
      </rPr>
      <t>]</t>
    </r>
  </si>
  <si>
    <r>
      <rPr>
        <sz val="9"/>
        <color rgb="FF595959"/>
        <rFont val="Linux Libertine G"/>
        <family val="2"/>
      </rPr>
      <t xml:space="preserve">  ・</t>
    </r>
    <r>
      <rPr>
        <sz val="9"/>
        <color rgb="FF595959"/>
        <rFont val="Meiryo"/>
        <family val="2"/>
        <charset val="128"/>
      </rPr>
      <t>[</t>
    </r>
    <r>
      <rPr>
        <sz val="9"/>
        <color rgb="FF595959"/>
        <rFont val="Linux Libertine G"/>
        <family val="2"/>
      </rPr>
      <t>データラベル</t>
    </r>
    <r>
      <rPr>
        <sz val="9"/>
        <color rgb="FF595959"/>
        <rFont val="Meiryo"/>
        <family val="2"/>
        <charset val="128"/>
      </rPr>
      <t>] → [</t>
    </r>
    <r>
      <rPr>
        <sz val="9"/>
        <color rgb="FF595959"/>
        <rFont val="Linux Libertine G"/>
        <family val="2"/>
      </rPr>
      <t>外側末端</t>
    </r>
    <r>
      <rPr>
        <sz val="9"/>
        <color rgb="FF595959"/>
        <rFont val="Meiryo"/>
        <family val="2"/>
        <charset val="128"/>
      </rPr>
      <t>]</t>
    </r>
  </si>
  <si>
    <r>
      <rPr>
        <sz val="9"/>
        <color rgb="FF595959"/>
        <rFont val="Linux Libertine G"/>
        <family val="2"/>
      </rPr>
      <t xml:space="preserve">  ・</t>
    </r>
    <r>
      <rPr>
        <sz val="9"/>
        <color rgb="FF595959"/>
        <rFont val="Meiryo"/>
        <family val="2"/>
        <charset val="128"/>
      </rPr>
      <t>[</t>
    </r>
    <r>
      <rPr>
        <sz val="9"/>
        <color rgb="FF595959"/>
        <rFont val="Linux Libertine G"/>
        <family val="2"/>
      </rPr>
      <t>凡例</t>
    </r>
    <r>
      <rPr>
        <sz val="9"/>
        <color rgb="FF595959"/>
        <rFont val="Meiryo"/>
        <family val="2"/>
        <charset val="128"/>
      </rPr>
      <t>] → [</t>
    </r>
    <r>
      <rPr>
        <sz val="9"/>
        <color rgb="FF595959"/>
        <rFont val="Linux Libertine G"/>
        <family val="2"/>
      </rPr>
      <t>なし</t>
    </r>
    <r>
      <rPr>
        <sz val="9"/>
        <color rgb="FF595959"/>
        <rFont val="Meiryo"/>
        <family val="2"/>
        <charset val="128"/>
      </rPr>
      <t>](</t>
    </r>
    <r>
      <rPr>
        <sz val="9"/>
        <color rgb="FF595959"/>
        <rFont val="Linux Libertine G"/>
        <family val="2"/>
      </rPr>
      <t xml:space="preserve">または凡例をクリックして </t>
    </r>
    <r>
      <rPr>
        <sz val="9"/>
        <color rgb="FF595959"/>
        <rFont val="Meiryo"/>
        <family val="2"/>
        <charset val="128"/>
      </rPr>
      <t xml:space="preserve">delete </t>
    </r>
    <r>
      <rPr>
        <sz val="9"/>
        <color rgb="FF595959"/>
        <rFont val="Linux Libertine G"/>
        <family val="2"/>
      </rPr>
      <t>キー</t>
    </r>
    <r>
      <rPr>
        <sz val="9"/>
        <color rgb="FF595959"/>
        <rFont val="Meiryo"/>
        <family val="2"/>
        <charset val="128"/>
      </rPr>
      <t>)</t>
    </r>
  </si>
  <si>
    <t>タイトルや「軸ラベル」の文字はクリックして書き換える</t>
  </si>
  <si>
    <r>
      <rPr>
        <sz val="9"/>
        <color rgb="FF595959"/>
        <rFont val="Linux Libertine G"/>
        <family val="2"/>
      </rPr>
      <t>数字が出ないとき</t>
    </r>
    <r>
      <rPr>
        <sz val="9"/>
        <color rgb="FF595959"/>
        <rFont val="Meiryo"/>
        <family val="2"/>
        <charset val="128"/>
      </rPr>
      <t>:[</t>
    </r>
    <r>
      <rPr>
        <sz val="9"/>
        <color rgb="FF595959"/>
        <rFont val="Linux Libertine G"/>
        <family val="2"/>
      </rPr>
      <t>データラベル</t>
    </r>
    <r>
      <rPr>
        <sz val="9"/>
        <color rgb="FF595959"/>
        <rFont val="Meiryo"/>
        <family val="2"/>
        <charset val="128"/>
      </rPr>
      <t>] → [</t>
    </r>
    <r>
      <rPr>
        <sz val="9"/>
        <color rgb="FF595959"/>
        <rFont val="Linux Libertine G"/>
        <family val="2"/>
      </rPr>
      <t>その他のデータラベルオプション</t>
    </r>
    <r>
      <rPr>
        <sz val="9"/>
        <color rgb="FF595959"/>
        <rFont val="Meiryo"/>
        <family val="2"/>
        <charset val="128"/>
      </rPr>
      <t>] →</t>
    </r>
    <r>
      <rPr>
        <sz val="9"/>
        <color rgb="FF595959"/>
        <rFont val="Linux Libertine G"/>
        <family val="2"/>
      </rPr>
      <t>「ラベルの内容」で「値」にチェック</t>
    </r>
  </si>
  <si>
    <r>
      <rPr>
        <b/>
        <sz val="11"/>
        <color rgb="FF375623"/>
        <rFont val="Linux Libertine G"/>
        <family val="2"/>
      </rPr>
      <t xml:space="preserve">【セルフチェック】できたら </t>
    </r>
    <r>
      <rPr>
        <b/>
        <sz val="11"/>
        <color rgb="FF375623"/>
        <rFont val="Meiryo"/>
        <family val="2"/>
        <charset val="128"/>
      </rPr>
      <t>C</t>
    </r>
    <r>
      <rPr>
        <b/>
        <sz val="11"/>
        <color rgb="FF375623"/>
        <rFont val="Linux Libertine G"/>
        <family val="2"/>
      </rPr>
      <t>列に ○ を入力</t>
    </r>
  </si>
  <si>
    <t>合計行がグラフに含まれていない</t>
  </si>
  <si>
    <t>タイトル・軸ラベルが設定されている</t>
  </si>
  <si>
    <t>凡例が非表示で、データラベルが表示されている</t>
  </si>
  <si>
    <r>
      <rPr>
        <b/>
        <sz val="14"/>
        <color rgb="FF1F4E78"/>
        <rFont val="Linux Libertine G"/>
        <family val="2"/>
      </rPr>
      <t>問題</t>
    </r>
    <r>
      <rPr>
        <b/>
        <sz val="14"/>
        <color rgb="FF1F4E78"/>
        <rFont val="Meiryo"/>
        <family val="2"/>
        <charset val="128"/>
      </rPr>
      <t xml:space="preserve">2 </t>
    </r>
    <r>
      <rPr>
        <b/>
        <sz val="14"/>
        <color rgb="FF1F4E78"/>
        <rFont val="Linux Libertine G"/>
        <family val="2"/>
      </rPr>
      <t>折れ線グラフ</t>
    </r>
  </si>
  <si>
    <t>月</t>
  </si>
  <si>
    <r>
      <rPr>
        <b/>
        <sz val="10"/>
        <color rgb="FFFFFFFF"/>
        <rFont val="Linux Libertine G"/>
        <family val="2"/>
      </rPr>
      <t>製品</t>
    </r>
    <r>
      <rPr>
        <b/>
        <sz val="10"/>
        <color rgb="FFFFFFFF"/>
        <rFont val="Meiryo"/>
        <family val="2"/>
        <charset val="128"/>
      </rPr>
      <t>A(</t>
    </r>
    <r>
      <rPr>
        <b/>
        <sz val="10"/>
        <color rgb="FFFFFFFF"/>
        <rFont val="Linux Libertine G"/>
        <family val="2"/>
      </rPr>
      <t>万円</t>
    </r>
    <r>
      <rPr>
        <b/>
        <sz val="10"/>
        <color rgb="FFFFFFFF"/>
        <rFont val="Meiryo"/>
        <family val="2"/>
        <charset val="128"/>
      </rPr>
      <t>)</t>
    </r>
  </si>
  <si>
    <r>
      <rPr>
        <b/>
        <sz val="10"/>
        <color rgb="FFFFFFFF"/>
        <rFont val="Linux Libertine G"/>
        <family val="2"/>
      </rPr>
      <t>製品</t>
    </r>
    <r>
      <rPr>
        <b/>
        <sz val="10"/>
        <color rgb="FFFFFFFF"/>
        <rFont val="Meiryo"/>
        <family val="2"/>
        <charset val="128"/>
      </rPr>
      <t>B(</t>
    </r>
    <r>
      <rPr>
        <b/>
        <sz val="10"/>
        <color rgb="FFFFFFFF"/>
        <rFont val="Linux Libertine G"/>
        <family val="2"/>
      </rPr>
      <t>万円</t>
    </r>
    <r>
      <rPr>
        <b/>
        <sz val="10"/>
        <color rgb="FFFFFFFF"/>
        <rFont val="Meiryo"/>
        <family val="2"/>
        <charset val="128"/>
      </rPr>
      <t>)</t>
    </r>
  </si>
  <si>
    <r>
      <rPr>
        <sz val="10"/>
        <color rgb="FF000000"/>
        <rFont val="Meiryo"/>
        <family val="2"/>
        <charset val="128"/>
      </rPr>
      <t>1</t>
    </r>
    <r>
      <rPr>
        <sz val="10"/>
        <color rgb="FF000000"/>
        <rFont val="Linux Libertine G"/>
        <family val="2"/>
      </rPr>
      <t>月</t>
    </r>
  </si>
  <si>
    <r>
      <rPr>
        <sz val="10"/>
        <color rgb="FF000000"/>
        <rFont val="Meiryo"/>
        <family val="2"/>
        <charset val="128"/>
      </rPr>
      <t>2</t>
    </r>
    <r>
      <rPr>
        <sz val="10"/>
        <color rgb="FF000000"/>
        <rFont val="Linux Libertine G"/>
        <family val="2"/>
      </rPr>
      <t>月</t>
    </r>
  </si>
  <si>
    <r>
      <rPr>
        <sz val="10"/>
        <color rgb="FF000000"/>
        <rFont val="Meiryo"/>
        <family val="2"/>
        <charset val="128"/>
      </rPr>
      <t>3</t>
    </r>
    <r>
      <rPr>
        <sz val="10"/>
        <color rgb="FF000000"/>
        <rFont val="Linux Libertine G"/>
        <family val="2"/>
      </rPr>
      <t>月</t>
    </r>
  </si>
  <si>
    <r>
      <rPr>
        <sz val="10"/>
        <color rgb="FF000000"/>
        <rFont val="Meiryo"/>
        <family val="2"/>
        <charset val="128"/>
      </rPr>
      <t>4</t>
    </r>
    <r>
      <rPr>
        <sz val="10"/>
        <color rgb="FF000000"/>
        <rFont val="Linux Libertine G"/>
        <family val="2"/>
      </rPr>
      <t>月</t>
    </r>
  </si>
  <si>
    <r>
      <rPr>
        <sz val="10"/>
        <color rgb="FF000000"/>
        <rFont val="Meiryo"/>
        <family val="2"/>
        <charset val="128"/>
      </rPr>
      <t>5</t>
    </r>
    <r>
      <rPr>
        <sz val="10"/>
        <color rgb="FF000000"/>
        <rFont val="Linux Libertine G"/>
        <family val="2"/>
      </rPr>
      <t>月</t>
    </r>
  </si>
  <si>
    <r>
      <rPr>
        <sz val="10"/>
        <color rgb="FF000000"/>
        <rFont val="Meiryo"/>
        <family val="2"/>
        <charset val="128"/>
      </rPr>
      <t>6</t>
    </r>
    <r>
      <rPr>
        <sz val="10"/>
        <color rgb="FF000000"/>
        <rFont val="Linux Libertine G"/>
        <family val="2"/>
      </rPr>
      <t>月</t>
    </r>
  </si>
  <si>
    <r>
      <rPr>
        <sz val="10"/>
        <color rgb="FF000000"/>
        <rFont val="Meiryo"/>
        <family val="2"/>
        <charset val="128"/>
      </rPr>
      <t>7</t>
    </r>
    <r>
      <rPr>
        <sz val="10"/>
        <color rgb="FF000000"/>
        <rFont val="Linux Libertine G"/>
        <family val="2"/>
      </rPr>
      <t>月</t>
    </r>
  </si>
  <si>
    <r>
      <rPr>
        <sz val="10"/>
        <color rgb="FF000000"/>
        <rFont val="Meiryo"/>
        <family val="2"/>
        <charset val="128"/>
      </rPr>
      <t>8</t>
    </r>
    <r>
      <rPr>
        <sz val="10"/>
        <color rgb="FF000000"/>
        <rFont val="Linux Libertine G"/>
        <family val="2"/>
      </rPr>
      <t>月</t>
    </r>
  </si>
  <si>
    <r>
      <rPr>
        <sz val="10"/>
        <color rgb="FF000000"/>
        <rFont val="Meiryo"/>
        <family val="2"/>
        <charset val="128"/>
      </rPr>
      <t>9</t>
    </r>
    <r>
      <rPr>
        <sz val="10"/>
        <color rgb="FF000000"/>
        <rFont val="Linux Libertine G"/>
        <family val="2"/>
      </rPr>
      <t>月</t>
    </r>
  </si>
  <si>
    <r>
      <rPr>
        <sz val="10"/>
        <color rgb="FF000000"/>
        <rFont val="Meiryo"/>
        <family val="2"/>
        <charset val="128"/>
      </rPr>
      <t>10</t>
    </r>
    <r>
      <rPr>
        <sz val="10"/>
        <color rgb="FF000000"/>
        <rFont val="Linux Libertine G"/>
        <family val="2"/>
      </rPr>
      <t>月</t>
    </r>
  </si>
  <si>
    <r>
      <rPr>
        <sz val="10"/>
        <color rgb="FF000000"/>
        <rFont val="Meiryo"/>
        <family val="2"/>
        <charset val="128"/>
      </rPr>
      <t>11</t>
    </r>
    <r>
      <rPr>
        <sz val="10"/>
        <color rgb="FF000000"/>
        <rFont val="Linux Libertine G"/>
        <family val="2"/>
      </rPr>
      <t>月</t>
    </r>
  </si>
  <si>
    <r>
      <rPr>
        <sz val="10"/>
        <color rgb="FF000000"/>
        <rFont val="Meiryo"/>
        <family val="2"/>
        <charset val="128"/>
      </rPr>
      <t>12</t>
    </r>
    <r>
      <rPr>
        <sz val="10"/>
        <color rgb="FF000000"/>
        <rFont val="Linux Libertine G"/>
        <family val="2"/>
      </rPr>
      <t>月</t>
    </r>
  </si>
  <si>
    <r>
      <rPr>
        <sz val="10"/>
        <color rgb="FF000000"/>
        <rFont val="Meiryo"/>
        <family val="2"/>
        <charset val="128"/>
      </rPr>
      <t xml:space="preserve">B4:D16 </t>
    </r>
    <r>
      <rPr>
        <sz val="10"/>
        <color rgb="FF000000"/>
        <rFont val="Linux Libertine G"/>
        <family val="2"/>
      </rPr>
      <t>のデータから「マーカー付き折れ線グラフ」を作成しなさい。</t>
    </r>
  </si>
  <si>
    <r>
      <rPr>
        <sz val="10"/>
        <color rgb="FF000000"/>
        <rFont val="Linux Libertine G"/>
        <family val="2"/>
      </rPr>
      <t xml:space="preserve">  ・グラフタイトル</t>
    </r>
    <r>
      <rPr>
        <sz val="10"/>
        <color rgb="FF000000"/>
        <rFont val="Meiryo"/>
        <family val="2"/>
        <charset val="128"/>
      </rPr>
      <t>:</t>
    </r>
    <r>
      <rPr>
        <sz val="10"/>
        <color rgb="FF000000"/>
        <rFont val="Linux Libertine G"/>
        <family val="2"/>
      </rPr>
      <t>「製品別 月次売上推移」</t>
    </r>
  </si>
  <si>
    <r>
      <rPr>
        <sz val="10"/>
        <color rgb="FF000000"/>
        <rFont val="Linux Libertine G"/>
        <family val="2"/>
      </rPr>
      <t xml:space="preserve">  ・縦軸ラベル</t>
    </r>
    <r>
      <rPr>
        <sz val="10"/>
        <color rgb="FF000000"/>
        <rFont val="Meiryo"/>
        <family val="2"/>
        <charset val="128"/>
      </rPr>
      <t>:</t>
    </r>
    <r>
      <rPr>
        <sz val="10"/>
        <color rgb="FF000000"/>
        <rFont val="Linux Libertine G"/>
        <family val="2"/>
      </rPr>
      <t>「売上</t>
    </r>
    <r>
      <rPr>
        <sz val="10"/>
        <color rgb="FF000000"/>
        <rFont val="Meiryo"/>
        <family val="2"/>
        <charset val="128"/>
      </rPr>
      <t>(</t>
    </r>
    <r>
      <rPr>
        <sz val="10"/>
        <color rgb="FF000000"/>
        <rFont val="Linux Libertine G"/>
        <family val="2"/>
      </rPr>
      <t>万円</t>
    </r>
    <r>
      <rPr>
        <sz val="10"/>
        <color rgb="FF000000"/>
        <rFont val="Meiryo"/>
        <family val="2"/>
        <charset val="128"/>
      </rPr>
      <t>)</t>
    </r>
    <r>
      <rPr>
        <sz val="10"/>
        <color rgb="FF000000"/>
        <rFont val="Linux Libertine G"/>
        <family val="2"/>
      </rPr>
      <t>」</t>
    </r>
  </si>
  <si>
    <t xml:space="preserve">  ・凡例をグラフの下に表示</t>
  </si>
  <si>
    <r>
      <rPr>
        <sz val="10"/>
        <color rgb="FF000000"/>
        <rFont val="Linux Libertine G"/>
        <family val="2"/>
      </rPr>
      <t xml:space="preserve">  ・縦軸の最小値を </t>
    </r>
    <r>
      <rPr>
        <sz val="10"/>
        <color rgb="FF000000"/>
        <rFont val="Meiryo"/>
        <family val="2"/>
        <charset val="128"/>
      </rPr>
      <t xml:space="preserve">50 </t>
    </r>
    <r>
      <rPr>
        <sz val="10"/>
        <color rgb="FF000000"/>
        <rFont val="Linux Libertine G"/>
        <family val="2"/>
      </rPr>
      <t>に変更</t>
    </r>
    <r>
      <rPr>
        <sz val="10"/>
        <color rgb="FF000000"/>
        <rFont val="Meiryo"/>
        <family val="2"/>
        <charset val="128"/>
      </rPr>
      <t>(</t>
    </r>
    <r>
      <rPr>
        <sz val="10"/>
        <color rgb="FF000000"/>
        <rFont val="Linux Libertine G"/>
        <family val="2"/>
      </rPr>
      <t>変化を見やすくする</t>
    </r>
    <r>
      <rPr>
        <sz val="10"/>
        <color rgb="FF000000"/>
        <rFont val="Meiryo"/>
        <family val="2"/>
        <charset val="128"/>
      </rPr>
      <t>)</t>
    </r>
  </si>
  <si>
    <r>
      <rPr>
        <sz val="9"/>
        <color rgb="FF595959"/>
        <rFont val="Meiryo"/>
        <family val="2"/>
        <charset val="128"/>
      </rPr>
      <t xml:space="preserve">B4:D16 </t>
    </r>
    <r>
      <rPr>
        <sz val="9"/>
        <color rgb="FF595959"/>
        <rFont val="Linux Libertine G"/>
        <family val="2"/>
      </rPr>
      <t xml:space="preserve">を選択 → </t>
    </r>
    <r>
      <rPr>
        <sz val="9"/>
        <color rgb="FF595959"/>
        <rFont val="Meiryo"/>
        <family val="2"/>
        <charset val="128"/>
      </rPr>
      <t>[</t>
    </r>
    <r>
      <rPr>
        <sz val="9"/>
        <color rgb="FF595959"/>
        <rFont val="Linux Libertine G"/>
        <family val="2"/>
      </rPr>
      <t>挿入</t>
    </r>
    <r>
      <rPr>
        <sz val="9"/>
        <color rgb="FF595959"/>
        <rFont val="Meiryo"/>
        <family val="2"/>
        <charset val="128"/>
      </rPr>
      <t>]</t>
    </r>
    <r>
      <rPr>
        <sz val="9"/>
        <color rgb="FF595959"/>
        <rFont val="Linux Libertine G"/>
        <family val="2"/>
      </rPr>
      <t xml:space="preserve">タブ → 折れ線グラフのアイコン → </t>
    </r>
    <r>
      <rPr>
        <sz val="9"/>
        <color rgb="FF595959"/>
        <rFont val="Meiryo"/>
        <family val="2"/>
        <charset val="128"/>
      </rPr>
      <t>[</t>
    </r>
    <r>
      <rPr>
        <sz val="9"/>
        <color rgb="FF595959"/>
        <rFont val="Linux Libertine G"/>
        <family val="2"/>
      </rPr>
      <t>マーカー付き折れ線</t>
    </r>
    <r>
      <rPr>
        <sz val="9"/>
        <color rgb="FF595959"/>
        <rFont val="Meiryo"/>
        <family val="2"/>
        <charset val="128"/>
      </rPr>
      <t>]</t>
    </r>
  </si>
  <si>
    <r>
      <rPr>
        <sz val="9"/>
        <color rgb="FF595959"/>
        <rFont val="Linux Libertine G"/>
        <family val="2"/>
      </rPr>
      <t>軸ラベル</t>
    </r>
    <r>
      <rPr>
        <sz val="9"/>
        <color rgb="FF595959"/>
        <rFont val="Meiryo"/>
        <family val="2"/>
        <charset val="128"/>
      </rPr>
      <t>:[</t>
    </r>
    <r>
      <rPr>
        <sz val="9"/>
        <color rgb="FF595959"/>
        <rFont val="Linux Libertine G"/>
        <family val="2"/>
      </rPr>
      <t>グラフのデザイン</t>
    </r>
    <r>
      <rPr>
        <sz val="9"/>
        <color rgb="FF595959"/>
        <rFont val="Meiryo"/>
        <family val="2"/>
        <charset val="128"/>
      </rPr>
      <t>] → [</t>
    </r>
    <r>
      <rPr>
        <sz val="9"/>
        <color rgb="FF595959"/>
        <rFont val="Linux Libertine G"/>
        <family val="2"/>
      </rPr>
      <t>グラフ要素を追加</t>
    </r>
    <r>
      <rPr>
        <sz val="9"/>
        <color rgb="FF595959"/>
        <rFont val="Meiryo"/>
        <family val="2"/>
        <charset val="128"/>
      </rPr>
      <t>] → [</t>
    </r>
    <r>
      <rPr>
        <sz val="9"/>
        <color rgb="FF595959"/>
        <rFont val="Linux Libertine G"/>
        <family val="2"/>
      </rPr>
      <t>軸ラベル</t>
    </r>
    <r>
      <rPr>
        <sz val="9"/>
        <color rgb="FF595959"/>
        <rFont val="Meiryo"/>
        <family val="2"/>
        <charset val="128"/>
      </rPr>
      <t>] → [</t>
    </r>
    <r>
      <rPr>
        <sz val="9"/>
        <color rgb="FF595959"/>
        <rFont val="Linux Libertine G"/>
        <family val="2"/>
      </rPr>
      <t>第</t>
    </r>
    <r>
      <rPr>
        <sz val="9"/>
        <color rgb="FF595959"/>
        <rFont val="Meiryo"/>
        <family val="2"/>
        <charset val="128"/>
      </rPr>
      <t>1</t>
    </r>
    <r>
      <rPr>
        <sz val="9"/>
        <color rgb="FF595959"/>
        <rFont val="Linux Libertine G"/>
        <family val="2"/>
      </rPr>
      <t>縦軸</t>
    </r>
    <r>
      <rPr>
        <sz val="9"/>
        <color rgb="FF595959"/>
        <rFont val="Meiryo"/>
        <family val="2"/>
        <charset val="128"/>
      </rPr>
      <t>]</t>
    </r>
  </si>
  <si>
    <r>
      <rPr>
        <sz val="9"/>
        <color rgb="FF595959"/>
        <rFont val="Linux Libertine G"/>
        <family val="2"/>
      </rPr>
      <t>凡例</t>
    </r>
    <r>
      <rPr>
        <sz val="9"/>
        <color rgb="FF595959"/>
        <rFont val="Meiryo"/>
        <family val="2"/>
        <charset val="128"/>
      </rPr>
      <t>:[</t>
    </r>
    <r>
      <rPr>
        <sz val="9"/>
        <color rgb="FF595959"/>
        <rFont val="Linux Libertine G"/>
        <family val="2"/>
      </rPr>
      <t>グラフのデザイン</t>
    </r>
    <r>
      <rPr>
        <sz val="9"/>
        <color rgb="FF595959"/>
        <rFont val="Meiryo"/>
        <family val="2"/>
        <charset val="128"/>
      </rPr>
      <t>] → [</t>
    </r>
    <r>
      <rPr>
        <sz val="9"/>
        <color rgb="FF595959"/>
        <rFont val="Linux Libertine G"/>
        <family val="2"/>
      </rPr>
      <t>グラフ要素を追加</t>
    </r>
    <r>
      <rPr>
        <sz val="9"/>
        <color rgb="FF595959"/>
        <rFont val="Meiryo"/>
        <family val="2"/>
        <charset val="128"/>
      </rPr>
      <t>] → [</t>
    </r>
    <r>
      <rPr>
        <sz val="9"/>
        <color rgb="FF595959"/>
        <rFont val="Linux Libertine G"/>
        <family val="2"/>
      </rPr>
      <t>凡例</t>
    </r>
    <r>
      <rPr>
        <sz val="9"/>
        <color rgb="FF595959"/>
        <rFont val="Meiryo"/>
        <family val="2"/>
        <charset val="128"/>
      </rPr>
      <t>] → [</t>
    </r>
    <r>
      <rPr>
        <sz val="9"/>
        <color rgb="FF595959"/>
        <rFont val="Linux Libertine G"/>
        <family val="2"/>
      </rPr>
      <t>下</t>
    </r>
    <r>
      <rPr>
        <sz val="9"/>
        <color rgb="FF595959"/>
        <rFont val="Meiryo"/>
        <family val="2"/>
        <charset val="128"/>
      </rPr>
      <t>]</t>
    </r>
  </si>
  <si>
    <r>
      <rPr>
        <sz val="9"/>
        <color rgb="FF595959"/>
        <rFont val="Linux Libertine G"/>
        <family val="2"/>
      </rPr>
      <t xml:space="preserve">縦軸の数字を右クリック → </t>
    </r>
    <r>
      <rPr>
        <sz val="9"/>
        <color rgb="FF595959"/>
        <rFont val="Meiryo"/>
        <family val="2"/>
        <charset val="128"/>
      </rPr>
      <t>[</t>
    </r>
    <r>
      <rPr>
        <sz val="9"/>
        <color rgb="FF595959"/>
        <rFont val="Linux Libertine G"/>
        <family val="2"/>
      </rPr>
      <t>軸の書式設定</t>
    </r>
    <r>
      <rPr>
        <sz val="9"/>
        <color rgb="FF595959"/>
        <rFont val="Meiryo"/>
        <family val="2"/>
        <charset val="128"/>
      </rPr>
      <t xml:space="preserve">] → </t>
    </r>
    <r>
      <rPr>
        <sz val="9"/>
        <color rgb="FF595959"/>
        <rFont val="Linux Libertine G"/>
        <family val="2"/>
      </rPr>
      <t>右側の画面の</t>
    </r>
    <r>
      <rPr>
        <sz val="9"/>
        <color rgb="FF595959"/>
        <rFont val="Meiryo"/>
        <family val="2"/>
        <charset val="128"/>
      </rPr>
      <t>[</t>
    </r>
    <r>
      <rPr>
        <sz val="9"/>
        <color rgb="FF595959"/>
        <rFont val="Linux Libertine G"/>
        <family val="2"/>
      </rPr>
      <t>軸のオプション</t>
    </r>
    <r>
      <rPr>
        <sz val="9"/>
        <color rgb="FF595959"/>
        <rFont val="Meiryo"/>
        <family val="2"/>
        <charset val="128"/>
      </rPr>
      <t>] →</t>
    </r>
    <r>
      <rPr>
        <sz val="9"/>
        <color rgb="FF595959"/>
        <rFont val="Linux Libertine G"/>
        <family val="2"/>
      </rPr>
      <t xml:space="preserve">「境界値」の「最小値」に </t>
    </r>
    <r>
      <rPr>
        <sz val="9"/>
        <color rgb="FF595959"/>
        <rFont val="Meiryo"/>
        <family val="2"/>
        <charset val="128"/>
      </rPr>
      <t xml:space="preserve">50 </t>
    </r>
    <r>
      <rPr>
        <sz val="9"/>
        <color rgb="FF595959"/>
        <rFont val="Linux Libertine G"/>
        <family val="2"/>
      </rPr>
      <t xml:space="preserve">と入力して </t>
    </r>
    <r>
      <rPr>
        <sz val="9"/>
        <color rgb="FF595959"/>
        <rFont val="Meiryo"/>
        <family val="2"/>
        <charset val="128"/>
      </rPr>
      <t>return</t>
    </r>
  </si>
  <si>
    <r>
      <rPr>
        <sz val="10"/>
        <color rgb="FF000000"/>
        <rFont val="Meiryo"/>
        <family val="2"/>
        <charset val="128"/>
      </rPr>
      <t>2</t>
    </r>
    <r>
      <rPr>
        <sz val="10"/>
        <color rgb="FF000000"/>
        <rFont val="Linux Libertine G"/>
        <family val="2"/>
      </rPr>
      <t>本の折れ線とマーカーが表示されている</t>
    </r>
  </si>
  <si>
    <t>凡例が下にある</t>
  </si>
  <si>
    <r>
      <rPr>
        <sz val="10"/>
        <color rgb="FF000000"/>
        <rFont val="Linux Libertine G"/>
        <family val="2"/>
      </rPr>
      <t xml:space="preserve">縦軸が </t>
    </r>
    <r>
      <rPr>
        <sz val="10"/>
        <color rgb="FF000000"/>
        <rFont val="Meiryo"/>
        <family val="2"/>
        <charset val="128"/>
      </rPr>
      <t xml:space="preserve">50 </t>
    </r>
    <r>
      <rPr>
        <sz val="10"/>
        <color rgb="FF000000"/>
        <rFont val="Linux Libertine G"/>
        <family val="2"/>
      </rPr>
      <t>から始まっている</t>
    </r>
  </si>
  <si>
    <r>
      <rPr>
        <sz val="10"/>
        <color rgb="FF000000"/>
        <rFont val="Meiryo"/>
        <family val="2"/>
        <charset val="128"/>
      </rPr>
      <t>(</t>
    </r>
    <r>
      <rPr>
        <sz val="10"/>
        <color rgb="FF000000"/>
        <rFont val="Linux Libertine G"/>
        <family val="2"/>
      </rPr>
      <t>考察</t>
    </r>
    <r>
      <rPr>
        <sz val="10"/>
        <color rgb="FF000000"/>
        <rFont val="Meiryo"/>
        <family val="2"/>
        <charset val="128"/>
      </rPr>
      <t>)</t>
    </r>
    <r>
      <rPr>
        <sz val="10"/>
        <color rgb="FF000000"/>
        <rFont val="Linux Libertine G"/>
        <family val="2"/>
      </rPr>
      <t>製品</t>
    </r>
    <r>
      <rPr>
        <sz val="10"/>
        <color rgb="FF000000"/>
        <rFont val="Meiryo"/>
        <family val="2"/>
        <charset val="128"/>
      </rPr>
      <t>A</t>
    </r>
    <r>
      <rPr>
        <sz val="10"/>
        <color rgb="FF000000"/>
        <rFont val="Linux Libertine G"/>
        <family val="2"/>
      </rPr>
      <t>が最も売れた月は</t>
    </r>
    <r>
      <rPr>
        <sz val="10"/>
        <color rgb="FF000000"/>
        <rFont val="Meiryo"/>
        <family val="2"/>
        <charset val="128"/>
      </rPr>
      <t>? → 8</t>
    </r>
    <r>
      <rPr>
        <sz val="10"/>
        <color rgb="FF000000"/>
        <rFont val="Linux Libertine G"/>
        <family val="2"/>
      </rPr>
      <t>月</t>
    </r>
  </si>
  <si>
    <r>
      <rPr>
        <b/>
        <sz val="14"/>
        <color rgb="FF1F4E78"/>
        <rFont val="Linux Libertine G"/>
        <family val="2"/>
      </rPr>
      <t>問題</t>
    </r>
    <r>
      <rPr>
        <b/>
        <sz val="14"/>
        <color rgb="FF1F4E78"/>
        <rFont val="Meiryo"/>
        <family val="2"/>
        <charset val="128"/>
      </rPr>
      <t xml:space="preserve">3 </t>
    </r>
    <r>
      <rPr>
        <b/>
        <sz val="14"/>
        <color rgb="FF1F4E78"/>
        <rFont val="Linux Libertine G"/>
        <family val="2"/>
      </rPr>
      <t>円グラフ</t>
    </r>
  </si>
  <si>
    <t>費目</t>
  </si>
  <si>
    <r>
      <rPr>
        <b/>
        <sz val="10"/>
        <color rgb="FFFFFFFF"/>
        <rFont val="Linux Libertine G"/>
        <family val="2"/>
      </rPr>
      <t>金額</t>
    </r>
    <r>
      <rPr>
        <b/>
        <sz val="10"/>
        <color rgb="FFFFFFFF"/>
        <rFont val="Meiryo"/>
        <family val="2"/>
        <charset val="128"/>
      </rPr>
      <t>(</t>
    </r>
    <r>
      <rPr>
        <b/>
        <sz val="10"/>
        <color rgb="FFFFFFFF"/>
        <rFont val="Linux Libertine G"/>
        <family val="2"/>
      </rPr>
      <t>千円</t>
    </r>
    <r>
      <rPr>
        <b/>
        <sz val="10"/>
        <color rgb="FFFFFFFF"/>
        <rFont val="Meiryo"/>
        <family val="2"/>
        <charset val="128"/>
      </rPr>
      <t>)</t>
    </r>
  </si>
  <si>
    <t>構成比</t>
  </si>
  <si>
    <t>人件費</t>
  </si>
  <si>
    <t>家賃</t>
  </si>
  <si>
    <t>広告宣伝費</t>
  </si>
  <si>
    <t>水道光熱費</t>
  </si>
  <si>
    <t>通信費</t>
  </si>
  <si>
    <t>その他</t>
  </si>
  <si>
    <r>
      <rPr>
        <sz val="10"/>
        <color rgb="FF000000"/>
        <rFont val="Meiryo"/>
        <family val="2"/>
        <charset val="128"/>
      </rPr>
      <t xml:space="preserve">B4:C10 </t>
    </r>
    <r>
      <rPr>
        <sz val="10"/>
        <color rgb="FF000000"/>
        <rFont val="Linux Libertine G"/>
        <family val="2"/>
      </rPr>
      <t>のデータから「円グラフ」を作成しなさい。</t>
    </r>
    <r>
      <rPr>
        <sz val="10"/>
        <color rgb="FF000000"/>
        <rFont val="Meiryo"/>
        <family val="2"/>
        <charset val="128"/>
      </rPr>
      <t>(</t>
    </r>
    <r>
      <rPr>
        <sz val="10"/>
        <color rgb="FF000000"/>
        <rFont val="Linux Libertine G"/>
        <family val="2"/>
      </rPr>
      <t xml:space="preserve">構成比の列 </t>
    </r>
    <r>
      <rPr>
        <sz val="10"/>
        <color rgb="FF000000"/>
        <rFont val="Meiryo"/>
        <family val="2"/>
        <charset val="128"/>
      </rPr>
      <t xml:space="preserve">D </t>
    </r>
    <r>
      <rPr>
        <sz val="10"/>
        <color rgb="FF000000"/>
        <rFont val="Linux Libertine G"/>
        <family val="2"/>
      </rPr>
      <t>は使わない</t>
    </r>
    <r>
      <rPr>
        <sz val="10"/>
        <color rgb="FF000000"/>
        <rFont val="Meiryo"/>
        <family val="2"/>
        <charset val="128"/>
      </rPr>
      <t>)</t>
    </r>
  </si>
  <si>
    <r>
      <rPr>
        <sz val="10"/>
        <color rgb="FF000000"/>
        <rFont val="Linux Libertine G"/>
        <family val="2"/>
      </rPr>
      <t xml:space="preserve">  ・グラフタイトル</t>
    </r>
    <r>
      <rPr>
        <sz val="10"/>
        <color rgb="FF000000"/>
        <rFont val="Meiryo"/>
        <family val="2"/>
        <charset val="128"/>
      </rPr>
      <t>:</t>
    </r>
    <r>
      <rPr>
        <sz val="10"/>
        <color rgb="FF000000"/>
        <rFont val="Linux Libertine G"/>
        <family val="2"/>
      </rPr>
      <t>「経費の構成比」</t>
    </r>
  </si>
  <si>
    <t xml:space="preserve">  ・データラベルに「分類名」と「パーセンテージ」を表示し、値は表示しない</t>
  </si>
  <si>
    <t xml:space="preserve">  ・凡例は非表示</t>
  </si>
  <si>
    <r>
      <rPr>
        <sz val="10"/>
        <color rgb="FF000000"/>
        <rFont val="Meiryo"/>
        <family val="2"/>
        <charset val="128"/>
      </rPr>
      <t xml:space="preserve">  (</t>
    </r>
    <r>
      <rPr>
        <sz val="10"/>
        <color rgb="FF000000"/>
        <rFont val="Linux Libertine G"/>
        <family val="2"/>
      </rPr>
      <t>発展</t>
    </r>
    <r>
      <rPr>
        <sz val="10"/>
        <color rgb="FF000000"/>
        <rFont val="Meiryo"/>
        <family val="2"/>
        <charset val="128"/>
      </rPr>
      <t>)</t>
    </r>
    <r>
      <rPr>
        <sz val="10"/>
        <color rgb="FF000000"/>
        <rFont val="Linux Libertine G"/>
        <family val="2"/>
      </rPr>
      <t>最大の要素「人件費」を少し切り離して強調してみよう</t>
    </r>
  </si>
  <si>
    <r>
      <rPr>
        <sz val="9"/>
        <color rgb="FF595959"/>
        <rFont val="Meiryo"/>
        <family val="2"/>
        <charset val="128"/>
      </rPr>
      <t xml:space="preserve">B4:C10 </t>
    </r>
    <r>
      <rPr>
        <sz val="9"/>
        <color rgb="FF595959"/>
        <rFont val="Linux Libertine G"/>
        <family val="2"/>
      </rPr>
      <t xml:space="preserve">を選択 → </t>
    </r>
    <r>
      <rPr>
        <sz val="9"/>
        <color rgb="FF595959"/>
        <rFont val="Meiryo"/>
        <family val="2"/>
        <charset val="128"/>
      </rPr>
      <t>[</t>
    </r>
    <r>
      <rPr>
        <sz val="9"/>
        <color rgb="FF595959"/>
        <rFont val="Linux Libertine G"/>
        <family val="2"/>
      </rPr>
      <t>挿入</t>
    </r>
    <r>
      <rPr>
        <sz val="9"/>
        <color rgb="FF595959"/>
        <rFont val="Meiryo"/>
        <family val="2"/>
        <charset val="128"/>
      </rPr>
      <t>]</t>
    </r>
    <r>
      <rPr>
        <sz val="9"/>
        <color rgb="FF595959"/>
        <rFont val="Linux Libertine G"/>
        <family val="2"/>
      </rPr>
      <t xml:space="preserve">タブ → 円グラフのアイコン → </t>
    </r>
    <r>
      <rPr>
        <sz val="9"/>
        <color rgb="FF595959"/>
        <rFont val="Meiryo"/>
        <family val="2"/>
        <charset val="128"/>
      </rPr>
      <t>[</t>
    </r>
    <r>
      <rPr>
        <sz val="9"/>
        <color rgb="FF595959"/>
        <rFont val="Linux Libertine G"/>
        <family val="2"/>
      </rPr>
      <t>円</t>
    </r>
    <r>
      <rPr>
        <sz val="9"/>
        <color rgb="FF595959"/>
        <rFont val="Meiryo"/>
        <family val="2"/>
        <charset val="128"/>
      </rPr>
      <t>]</t>
    </r>
  </si>
  <si>
    <r>
      <rPr>
        <sz val="9"/>
        <color rgb="FF595959"/>
        <rFont val="Meiryo"/>
        <family val="2"/>
        <charset val="128"/>
      </rPr>
      <t>[</t>
    </r>
    <r>
      <rPr>
        <sz val="9"/>
        <color rgb="FF595959"/>
        <rFont val="Linux Libertine G"/>
        <family val="2"/>
      </rPr>
      <t>グラフのデザイン</t>
    </r>
    <r>
      <rPr>
        <sz val="9"/>
        <color rgb="FF595959"/>
        <rFont val="Meiryo"/>
        <family val="2"/>
        <charset val="128"/>
      </rPr>
      <t>] → [</t>
    </r>
    <r>
      <rPr>
        <sz val="9"/>
        <color rgb="FF595959"/>
        <rFont val="Linux Libertine G"/>
        <family val="2"/>
      </rPr>
      <t>グラフ要素を追加</t>
    </r>
    <r>
      <rPr>
        <sz val="9"/>
        <color rgb="FF595959"/>
        <rFont val="Meiryo"/>
        <family val="2"/>
        <charset val="128"/>
      </rPr>
      <t>] → [</t>
    </r>
    <r>
      <rPr>
        <sz val="9"/>
        <color rgb="FF595959"/>
        <rFont val="Linux Libertine G"/>
        <family val="2"/>
      </rPr>
      <t>データラベル</t>
    </r>
    <r>
      <rPr>
        <sz val="9"/>
        <color rgb="FF595959"/>
        <rFont val="Meiryo"/>
        <family val="2"/>
        <charset val="128"/>
      </rPr>
      <t>] → [</t>
    </r>
    <r>
      <rPr>
        <sz val="9"/>
        <color rgb="FF595959"/>
        <rFont val="Linux Libertine G"/>
        <family val="2"/>
      </rPr>
      <t>その他のデータラベルオプション</t>
    </r>
    <r>
      <rPr>
        <sz val="9"/>
        <color rgb="FF595959"/>
        <rFont val="Meiryo"/>
        <family val="2"/>
        <charset val="128"/>
      </rPr>
      <t>]</t>
    </r>
  </si>
  <si>
    <t xml:space="preserve">  → 右側の画面「ラベルの内容」で 分類名・パーセンテージ にチェック、値 のチェックを外す</t>
  </si>
  <si>
    <r>
      <rPr>
        <sz val="9"/>
        <color rgb="FF595959"/>
        <rFont val="Linux Libertine G"/>
        <family val="2"/>
      </rPr>
      <t>凡例</t>
    </r>
    <r>
      <rPr>
        <sz val="9"/>
        <color rgb="FF595959"/>
        <rFont val="Meiryo"/>
        <family val="2"/>
        <charset val="128"/>
      </rPr>
      <t>:[</t>
    </r>
    <r>
      <rPr>
        <sz val="9"/>
        <color rgb="FF595959"/>
        <rFont val="Linux Libertine G"/>
        <family val="2"/>
      </rPr>
      <t>グラフ要素を追加</t>
    </r>
    <r>
      <rPr>
        <sz val="9"/>
        <color rgb="FF595959"/>
        <rFont val="Meiryo"/>
        <family val="2"/>
        <charset val="128"/>
      </rPr>
      <t>] → [</t>
    </r>
    <r>
      <rPr>
        <sz val="9"/>
        <color rgb="FF595959"/>
        <rFont val="Linux Libertine G"/>
        <family val="2"/>
      </rPr>
      <t>凡例</t>
    </r>
    <r>
      <rPr>
        <sz val="9"/>
        <color rgb="FF595959"/>
        <rFont val="Meiryo"/>
        <family val="2"/>
        <charset val="128"/>
      </rPr>
      <t>] → [</t>
    </r>
    <r>
      <rPr>
        <sz val="9"/>
        <color rgb="FF595959"/>
        <rFont val="Linux Libertine G"/>
        <family val="2"/>
      </rPr>
      <t>なし</t>
    </r>
    <r>
      <rPr>
        <sz val="9"/>
        <color rgb="FF595959"/>
        <rFont val="Meiryo"/>
        <family val="2"/>
        <charset val="128"/>
      </rPr>
      <t>]</t>
    </r>
  </si>
  <si>
    <r>
      <rPr>
        <sz val="9"/>
        <color rgb="FF595959"/>
        <rFont val="Linux Libertine G"/>
        <family val="2"/>
      </rPr>
      <t>切り離し</t>
    </r>
    <r>
      <rPr>
        <sz val="9"/>
        <color rgb="FF595959"/>
        <rFont val="Meiryo"/>
        <family val="2"/>
        <charset val="128"/>
      </rPr>
      <t>:</t>
    </r>
    <r>
      <rPr>
        <sz val="9"/>
        <color rgb="FF595959"/>
        <rFont val="Linux Libertine G"/>
        <family val="2"/>
      </rPr>
      <t>人件費の扇形だけをゆっくり</t>
    </r>
    <r>
      <rPr>
        <sz val="9"/>
        <color rgb="FF595959"/>
        <rFont val="Meiryo"/>
        <family val="2"/>
        <charset val="128"/>
      </rPr>
      <t>2</t>
    </r>
    <r>
      <rPr>
        <sz val="9"/>
        <color rgb="FF595959"/>
        <rFont val="Linux Libertine G"/>
        <family val="2"/>
      </rPr>
      <t>回クリックして選択 → 外側へドラッグ</t>
    </r>
  </si>
  <si>
    <r>
      <rPr>
        <sz val="9"/>
        <color rgb="FF595959"/>
        <rFont val="Meiryo"/>
        <family val="2"/>
        <charset val="128"/>
      </rPr>
      <t>D</t>
    </r>
    <r>
      <rPr>
        <sz val="9"/>
        <color rgb="FF595959"/>
        <rFont val="Linux Libertine G"/>
        <family val="2"/>
      </rPr>
      <t>列の構成比の計算式</t>
    </r>
    <r>
      <rPr>
        <sz val="9"/>
        <color rgb="FF595959"/>
        <rFont val="Meiryo"/>
        <family val="2"/>
        <charset val="128"/>
      </rPr>
      <t>(=C5/SUM($C$5:$C$10))</t>
    </r>
    <r>
      <rPr>
        <sz val="9"/>
        <color rgb="FF595959"/>
        <rFont val="Linux Libertine G"/>
        <family val="2"/>
      </rPr>
      <t>も確認しよう。絶対参照がポイント</t>
    </r>
  </si>
  <si>
    <r>
      <rPr>
        <sz val="10"/>
        <color rgb="FF000000"/>
        <rFont val="Linux Libertine G"/>
        <family val="2"/>
      </rPr>
      <t>分類名と</t>
    </r>
    <r>
      <rPr>
        <sz val="10"/>
        <color rgb="FF000000"/>
        <rFont val="Meiryo"/>
        <family val="2"/>
        <charset val="128"/>
      </rPr>
      <t>%</t>
    </r>
    <r>
      <rPr>
        <sz val="10"/>
        <color rgb="FF000000"/>
        <rFont val="Linux Libertine G"/>
        <family val="2"/>
      </rPr>
      <t>がラベルに出ている</t>
    </r>
  </si>
  <si>
    <t>凡例が非表示</t>
  </si>
  <si>
    <r>
      <rPr>
        <sz val="10"/>
        <color rgb="FF000000"/>
        <rFont val="Linux Libertine G"/>
        <family val="2"/>
      </rPr>
      <t>ラベルの</t>
    </r>
    <r>
      <rPr>
        <sz val="10"/>
        <color rgb="FF000000"/>
        <rFont val="Meiryo"/>
        <family val="2"/>
        <charset val="128"/>
      </rPr>
      <t>%</t>
    </r>
    <r>
      <rPr>
        <sz val="10"/>
        <color rgb="FF000000"/>
        <rFont val="Linux Libertine G"/>
        <family val="2"/>
      </rPr>
      <t>と</t>
    </r>
    <r>
      <rPr>
        <sz val="10"/>
        <color rgb="FF000000"/>
        <rFont val="Meiryo"/>
        <family val="2"/>
        <charset val="128"/>
      </rPr>
      <t>D</t>
    </r>
    <r>
      <rPr>
        <sz val="10"/>
        <color rgb="FF000000"/>
        <rFont val="Linux Libertine G"/>
        <family val="2"/>
      </rPr>
      <t>列の構成比が一致している</t>
    </r>
  </si>
  <si>
    <r>
      <rPr>
        <b/>
        <sz val="14"/>
        <color rgb="FF1F4E78"/>
        <rFont val="Linux Libertine G"/>
        <family val="2"/>
      </rPr>
      <t>問題</t>
    </r>
    <r>
      <rPr>
        <b/>
        <sz val="14"/>
        <color rgb="FF1F4E78"/>
        <rFont val="Meiryo"/>
        <family val="2"/>
        <charset val="128"/>
      </rPr>
      <t xml:space="preserve">4 </t>
    </r>
    <r>
      <rPr>
        <b/>
        <sz val="14"/>
        <color rgb="FF1F4E78"/>
        <rFont val="Linux Libertine G"/>
        <family val="2"/>
      </rPr>
      <t>積み上げ縦棒グラフ</t>
    </r>
  </si>
  <si>
    <t>難易度 ★★</t>
  </si>
  <si>
    <t>四半期</t>
  </si>
  <si>
    <t>食品</t>
  </si>
  <si>
    <t>日用品</t>
  </si>
  <si>
    <t>衣料</t>
  </si>
  <si>
    <t>家電</t>
  </si>
  <si>
    <r>
      <rPr>
        <sz val="10"/>
        <color rgb="FF000000"/>
        <rFont val="Linux Libertine G"/>
        <family val="2"/>
      </rPr>
      <t>第</t>
    </r>
    <r>
      <rPr>
        <sz val="10"/>
        <color rgb="FF000000"/>
        <rFont val="Meiryo"/>
        <family val="2"/>
        <charset val="128"/>
      </rPr>
      <t>1</t>
    </r>
    <r>
      <rPr>
        <sz val="10"/>
        <color rgb="FF000000"/>
        <rFont val="Linux Libertine G"/>
        <family val="2"/>
      </rPr>
      <t>四半期</t>
    </r>
  </si>
  <si>
    <r>
      <rPr>
        <sz val="10"/>
        <color rgb="FF000000"/>
        <rFont val="Linux Libertine G"/>
        <family val="2"/>
      </rPr>
      <t>第</t>
    </r>
    <r>
      <rPr>
        <sz val="10"/>
        <color rgb="FF000000"/>
        <rFont val="Meiryo"/>
        <family val="2"/>
        <charset val="128"/>
      </rPr>
      <t>2</t>
    </r>
    <r>
      <rPr>
        <sz val="10"/>
        <color rgb="FF000000"/>
        <rFont val="Linux Libertine G"/>
        <family val="2"/>
      </rPr>
      <t>四半期</t>
    </r>
  </si>
  <si>
    <r>
      <rPr>
        <sz val="10"/>
        <color rgb="FF000000"/>
        <rFont val="Linux Libertine G"/>
        <family val="2"/>
      </rPr>
      <t>第</t>
    </r>
    <r>
      <rPr>
        <sz val="10"/>
        <color rgb="FF000000"/>
        <rFont val="Meiryo"/>
        <family val="2"/>
        <charset val="128"/>
      </rPr>
      <t>3</t>
    </r>
    <r>
      <rPr>
        <sz val="10"/>
        <color rgb="FF000000"/>
        <rFont val="Linux Libertine G"/>
        <family val="2"/>
      </rPr>
      <t>四半期</t>
    </r>
  </si>
  <si>
    <r>
      <rPr>
        <sz val="10"/>
        <color rgb="FF000000"/>
        <rFont val="Linux Libertine G"/>
        <family val="2"/>
      </rPr>
      <t>第</t>
    </r>
    <r>
      <rPr>
        <sz val="10"/>
        <color rgb="FF000000"/>
        <rFont val="Meiryo"/>
        <family val="2"/>
        <charset val="128"/>
      </rPr>
      <t>4</t>
    </r>
    <r>
      <rPr>
        <sz val="10"/>
        <color rgb="FF000000"/>
        <rFont val="Linux Libertine G"/>
        <family val="2"/>
      </rPr>
      <t>四半期</t>
    </r>
  </si>
  <si>
    <r>
      <rPr>
        <sz val="10"/>
        <color rgb="FF000000"/>
        <rFont val="Meiryo"/>
        <family val="2"/>
        <charset val="128"/>
      </rPr>
      <t xml:space="preserve">B4:F8 </t>
    </r>
    <r>
      <rPr>
        <sz val="10"/>
        <color rgb="FF000000"/>
        <rFont val="Linux Libertine G"/>
        <family val="2"/>
      </rPr>
      <t>のデータから「積み上げ縦棒グラフ」を作成しなさい。</t>
    </r>
    <r>
      <rPr>
        <sz val="10"/>
        <color rgb="FF000000"/>
        <rFont val="Meiryo"/>
        <family val="2"/>
        <charset val="128"/>
      </rPr>
      <t>(</t>
    </r>
    <r>
      <rPr>
        <sz val="10"/>
        <color rgb="FF000000"/>
        <rFont val="Linux Libertine G"/>
        <family val="2"/>
      </rPr>
      <t>単位</t>
    </r>
    <r>
      <rPr>
        <sz val="10"/>
        <color rgb="FF000000"/>
        <rFont val="Meiryo"/>
        <family val="2"/>
        <charset val="128"/>
      </rPr>
      <t>:</t>
    </r>
    <r>
      <rPr>
        <sz val="10"/>
        <color rgb="FF000000"/>
        <rFont val="Linux Libertine G"/>
        <family val="2"/>
      </rPr>
      <t>百万円</t>
    </r>
    <r>
      <rPr>
        <sz val="10"/>
        <color rgb="FF000000"/>
        <rFont val="Meiryo"/>
        <family val="2"/>
        <charset val="128"/>
      </rPr>
      <t>)</t>
    </r>
  </si>
  <si>
    <r>
      <rPr>
        <sz val="10"/>
        <color rgb="FF000000"/>
        <rFont val="Linux Libertine G"/>
        <family val="2"/>
      </rPr>
      <t xml:space="preserve">  ・横軸が四半期、積み上げの要素が部門</t>
    </r>
    <r>
      <rPr>
        <sz val="10"/>
        <color rgb="FF000000"/>
        <rFont val="Meiryo"/>
        <family val="2"/>
        <charset val="128"/>
      </rPr>
      <t>(</t>
    </r>
    <r>
      <rPr>
        <sz val="10"/>
        <color rgb="FF000000"/>
        <rFont val="Linux Libertine G"/>
        <family val="2"/>
      </rPr>
      <t>食品・日用品・衣料・家電</t>
    </r>
    <r>
      <rPr>
        <sz val="10"/>
        <color rgb="FF000000"/>
        <rFont val="Meiryo"/>
        <family val="2"/>
        <charset val="128"/>
      </rPr>
      <t>)</t>
    </r>
    <r>
      <rPr>
        <sz val="10"/>
        <color rgb="FF000000"/>
        <rFont val="Linux Libertine G"/>
        <family val="2"/>
      </rPr>
      <t>になるようにする</t>
    </r>
  </si>
  <si>
    <r>
      <rPr>
        <sz val="10"/>
        <color rgb="FF000000"/>
        <rFont val="Linux Libertine G"/>
        <family val="2"/>
      </rPr>
      <t xml:space="preserve">  ・グラフタイトル</t>
    </r>
    <r>
      <rPr>
        <sz val="10"/>
        <color rgb="FF000000"/>
        <rFont val="Meiryo"/>
        <family val="2"/>
        <charset val="128"/>
      </rPr>
      <t>:</t>
    </r>
    <r>
      <rPr>
        <sz val="10"/>
        <color rgb="FF000000"/>
        <rFont val="Linux Libertine G"/>
        <family val="2"/>
      </rPr>
      <t>「四半期別 部門売上</t>
    </r>
    <r>
      <rPr>
        <sz val="10"/>
        <color rgb="FF000000"/>
        <rFont val="Meiryo"/>
        <family val="2"/>
        <charset val="128"/>
      </rPr>
      <t>(</t>
    </r>
    <r>
      <rPr>
        <sz val="10"/>
        <color rgb="FF000000"/>
        <rFont val="Linux Libertine G"/>
        <family val="2"/>
      </rPr>
      <t>百万円</t>
    </r>
    <r>
      <rPr>
        <sz val="10"/>
        <color rgb="FF000000"/>
        <rFont val="Meiryo"/>
        <family val="2"/>
        <charset val="128"/>
      </rPr>
      <t>)</t>
    </r>
    <r>
      <rPr>
        <sz val="10"/>
        <color rgb="FF000000"/>
        <rFont val="Linux Libertine G"/>
        <family val="2"/>
      </rPr>
      <t>」</t>
    </r>
  </si>
  <si>
    <r>
      <rPr>
        <sz val="10"/>
        <color rgb="FF000000"/>
        <rFont val="Linux Libertine G"/>
        <family val="2"/>
      </rPr>
      <t xml:space="preserve">  ・棒の間隔</t>
    </r>
    <r>
      <rPr>
        <sz val="10"/>
        <color rgb="FF000000"/>
        <rFont val="Meiryo"/>
        <family val="2"/>
        <charset val="128"/>
      </rPr>
      <t>(</t>
    </r>
    <r>
      <rPr>
        <sz val="10"/>
        <color rgb="FF000000"/>
        <rFont val="Linux Libertine G"/>
        <family val="2"/>
      </rPr>
      <t>要素の間隔</t>
    </r>
    <r>
      <rPr>
        <sz val="10"/>
        <color rgb="FF000000"/>
        <rFont val="Meiryo"/>
        <family val="2"/>
        <charset val="128"/>
      </rPr>
      <t>)</t>
    </r>
    <r>
      <rPr>
        <sz val="10"/>
        <color rgb="FF000000"/>
        <rFont val="Linux Libertine G"/>
        <family val="2"/>
      </rPr>
      <t xml:space="preserve">を </t>
    </r>
    <r>
      <rPr>
        <sz val="10"/>
        <color rgb="FF000000"/>
        <rFont val="Meiryo"/>
        <family val="2"/>
        <charset val="128"/>
      </rPr>
      <t xml:space="preserve">60% </t>
    </r>
    <r>
      <rPr>
        <sz val="10"/>
        <color rgb="FF000000"/>
        <rFont val="Linux Libertine G"/>
        <family val="2"/>
      </rPr>
      <t>にして棒を太くする</t>
    </r>
  </si>
  <si>
    <r>
      <rPr>
        <sz val="10"/>
        <color rgb="FF000000"/>
        <rFont val="Meiryo"/>
        <family val="2"/>
        <charset val="128"/>
      </rPr>
      <t xml:space="preserve">  (</t>
    </r>
    <r>
      <rPr>
        <sz val="10"/>
        <color rgb="FF000000"/>
        <rFont val="Linux Libertine G"/>
        <family val="2"/>
      </rPr>
      <t>発展</t>
    </r>
    <r>
      <rPr>
        <sz val="10"/>
        <color rgb="FF000000"/>
        <rFont val="Meiryo"/>
        <family val="2"/>
        <charset val="128"/>
      </rPr>
      <t>)</t>
    </r>
    <r>
      <rPr>
        <sz val="10"/>
        <color rgb="FF000000"/>
        <rFont val="Linux Libertine G"/>
        <family val="2"/>
      </rPr>
      <t>同じデータで「</t>
    </r>
    <r>
      <rPr>
        <sz val="10"/>
        <color rgb="FF000000"/>
        <rFont val="Meiryo"/>
        <family val="2"/>
        <charset val="128"/>
      </rPr>
      <t>100%</t>
    </r>
    <r>
      <rPr>
        <sz val="10"/>
        <color rgb="FF000000"/>
        <rFont val="Linux Libertine G"/>
        <family val="2"/>
      </rPr>
      <t>積み上げ縦棒」も作り、構成比の変化を比べよう</t>
    </r>
  </si>
  <si>
    <r>
      <rPr>
        <sz val="9"/>
        <color rgb="FF595959"/>
        <rFont val="Meiryo"/>
        <family val="2"/>
        <charset val="128"/>
      </rPr>
      <t xml:space="preserve">B4:F8 </t>
    </r>
    <r>
      <rPr>
        <sz val="9"/>
        <color rgb="FF595959"/>
        <rFont val="Linux Libertine G"/>
        <family val="2"/>
      </rPr>
      <t xml:space="preserve">を選択 → </t>
    </r>
    <r>
      <rPr>
        <sz val="9"/>
        <color rgb="FF595959"/>
        <rFont val="Meiryo"/>
        <family val="2"/>
        <charset val="128"/>
      </rPr>
      <t>[</t>
    </r>
    <r>
      <rPr>
        <sz val="9"/>
        <color rgb="FF595959"/>
        <rFont val="Linux Libertine G"/>
        <family val="2"/>
      </rPr>
      <t>挿入</t>
    </r>
    <r>
      <rPr>
        <sz val="9"/>
        <color rgb="FF595959"/>
        <rFont val="Meiryo"/>
        <family val="2"/>
        <charset val="128"/>
      </rPr>
      <t>]</t>
    </r>
    <r>
      <rPr>
        <sz val="9"/>
        <color rgb="FF595959"/>
        <rFont val="Linux Libertine G"/>
        <family val="2"/>
      </rPr>
      <t xml:space="preserve">タブ → 縦棒グラフのアイコン → </t>
    </r>
    <r>
      <rPr>
        <sz val="9"/>
        <color rgb="FF595959"/>
        <rFont val="Meiryo"/>
        <family val="2"/>
        <charset val="128"/>
      </rPr>
      <t>[</t>
    </r>
    <r>
      <rPr>
        <sz val="9"/>
        <color rgb="FF595959"/>
        <rFont val="Linux Libertine G"/>
        <family val="2"/>
      </rPr>
      <t>積み上げ縦棒</t>
    </r>
    <r>
      <rPr>
        <sz val="9"/>
        <color rgb="FF595959"/>
        <rFont val="Meiryo"/>
        <family val="2"/>
        <charset val="128"/>
      </rPr>
      <t>]</t>
    </r>
  </si>
  <si>
    <r>
      <rPr>
        <sz val="9"/>
        <color rgb="FF595959"/>
        <rFont val="Linux Libertine G"/>
        <family val="2"/>
      </rPr>
      <t>横軸が部門になってしまったら</t>
    </r>
    <r>
      <rPr>
        <sz val="9"/>
        <color rgb="FF595959"/>
        <rFont val="Meiryo"/>
        <family val="2"/>
        <charset val="128"/>
      </rPr>
      <t>:</t>
    </r>
    <r>
      <rPr>
        <sz val="9"/>
        <color rgb="FF595959"/>
        <rFont val="Linux Libertine G"/>
        <family val="2"/>
      </rPr>
      <t xml:space="preserve">グラフを選択 → </t>
    </r>
    <r>
      <rPr>
        <sz val="9"/>
        <color rgb="FF595959"/>
        <rFont val="Meiryo"/>
        <family val="2"/>
        <charset val="128"/>
      </rPr>
      <t>[</t>
    </r>
    <r>
      <rPr>
        <sz val="9"/>
        <color rgb="FF595959"/>
        <rFont val="Linux Libertine G"/>
        <family val="2"/>
      </rPr>
      <t>グラフのデザイン</t>
    </r>
    <r>
      <rPr>
        <sz val="9"/>
        <color rgb="FF595959"/>
        <rFont val="Meiryo"/>
        <family val="2"/>
        <charset val="128"/>
      </rPr>
      <t>]</t>
    </r>
    <r>
      <rPr>
        <sz val="9"/>
        <color rgb="FF595959"/>
        <rFont val="Linux Libertine G"/>
        <family val="2"/>
      </rPr>
      <t xml:space="preserve">タブ → </t>
    </r>
    <r>
      <rPr>
        <sz val="9"/>
        <color rgb="FF595959"/>
        <rFont val="Meiryo"/>
        <family val="2"/>
        <charset val="128"/>
      </rPr>
      <t>[</t>
    </r>
    <r>
      <rPr>
        <sz val="9"/>
        <color rgb="FF595959"/>
        <rFont val="Linux Libertine G"/>
        <family val="2"/>
      </rPr>
      <t>行</t>
    </r>
    <r>
      <rPr>
        <sz val="9"/>
        <color rgb="FF595959"/>
        <rFont val="Meiryo"/>
        <family val="2"/>
        <charset val="128"/>
      </rPr>
      <t>/</t>
    </r>
    <r>
      <rPr>
        <sz val="9"/>
        <color rgb="FF595959"/>
        <rFont val="Linux Libertine G"/>
        <family val="2"/>
      </rPr>
      <t>列の切り替え</t>
    </r>
    <r>
      <rPr>
        <sz val="9"/>
        <color rgb="FF595959"/>
        <rFont val="Meiryo"/>
        <family val="2"/>
        <charset val="128"/>
      </rPr>
      <t>]</t>
    </r>
  </si>
  <si>
    <r>
      <rPr>
        <sz val="9"/>
        <color rgb="FF595959"/>
        <rFont val="Linux Libertine G"/>
        <family val="2"/>
      </rPr>
      <t xml:space="preserve">棒を右クリック → </t>
    </r>
    <r>
      <rPr>
        <sz val="9"/>
        <color rgb="FF595959"/>
        <rFont val="Meiryo"/>
        <family val="2"/>
        <charset val="128"/>
      </rPr>
      <t>[</t>
    </r>
    <r>
      <rPr>
        <sz val="9"/>
        <color rgb="FF595959"/>
        <rFont val="Linux Libertine G"/>
        <family val="2"/>
      </rPr>
      <t>データ系列の書式設定</t>
    </r>
    <r>
      <rPr>
        <sz val="9"/>
        <color rgb="FF595959"/>
        <rFont val="Meiryo"/>
        <family val="2"/>
        <charset val="128"/>
      </rPr>
      <t xml:space="preserve">] → </t>
    </r>
    <r>
      <rPr>
        <sz val="9"/>
        <color rgb="FF595959"/>
        <rFont val="Linux Libertine G"/>
        <family val="2"/>
      </rPr>
      <t>右側の画面</t>
    </r>
    <r>
      <rPr>
        <sz val="9"/>
        <color rgb="FF595959"/>
        <rFont val="Meiryo"/>
        <family val="2"/>
        <charset val="128"/>
      </rPr>
      <t>[</t>
    </r>
    <r>
      <rPr>
        <sz val="9"/>
        <color rgb="FF595959"/>
        <rFont val="Linux Libertine G"/>
        <family val="2"/>
      </rPr>
      <t>系列のオプション</t>
    </r>
    <r>
      <rPr>
        <sz val="9"/>
        <color rgb="FF595959"/>
        <rFont val="Meiryo"/>
        <family val="2"/>
        <charset val="128"/>
      </rPr>
      <t>] →</t>
    </r>
    <r>
      <rPr>
        <sz val="9"/>
        <color rgb="FF595959"/>
        <rFont val="Linux Libertine G"/>
        <family val="2"/>
      </rPr>
      <t xml:space="preserve">「要素の間隔」を </t>
    </r>
    <r>
      <rPr>
        <sz val="9"/>
        <color rgb="FF595959"/>
        <rFont val="Meiryo"/>
        <family val="2"/>
        <charset val="128"/>
      </rPr>
      <t>60%</t>
    </r>
  </si>
  <si>
    <r>
      <rPr>
        <sz val="9"/>
        <color rgb="FF595959"/>
        <rFont val="Meiryo"/>
        <family val="2"/>
        <charset val="128"/>
      </rPr>
      <t>100%</t>
    </r>
    <r>
      <rPr>
        <sz val="9"/>
        <color rgb="FF595959"/>
        <rFont val="Linux Libertine G"/>
        <family val="2"/>
      </rPr>
      <t>積み上げ</t>
    </r>
    <r>
      <rPr>
        <sz val="9"/>
        <color rgb="FF595959"/>
        <rFont val="Meiryo"/>
        <family val="2"/>
        <charset val="128"/>
      </rPr>
      <t>:</t>
    </r>
    <r>
      <rPr>
        <sz val="9"/>
        <color rgb="FF595959"/>
        <rFont val="Linux Libertine G"/>
        <family val="2"/>
      </rPr>
      <t xml:space="preserve">グラフを選択 → </t>
    </r>
    <r>
      <rPr>
        <sz val="9"/>
        <color rgb="FF595959"/>
        <rFont val="Meiryo"/>
        <family val="2"/>
        <charset val="128"/>
      </rPr>
      <t>[</t>
    </r>
    <r>
      <rPr>
        <sz val="9"/>
        <color rgb="FF595959"/>
        <rFont val="Linux Libertine G"/>
        <family val="2"/>
      </rPr>
      <t>グラフのデザイン</t>
    </r>
    <r>
      <rPr>
        <sz val="9"/>
        <color rgb="FF595959"/>
        <rFont val="Meiryo"/>
        <family val="2"/>
        <charset val="128"/>
      </rPr>
      <t>] → [</t>
    </r>
    <r>
      <rPr>
        <sz val="9"/>
        <color rgb="FF595959"/>
        <rFont val="Linux Libertine G"/>
        <family val="2"/>
      </rPr>
      <t>グラフの種類の変更</t>
    </r>
    <r>
      <rPr>
        <sz val="9"/>
        <color rgb="FF595959"/>
        <rFont val="Meiryo"/>
        <family val="2"/>
        <charset val="128"/>
      </rPr>
      <t>] → [100%</t>
    </r>
    <r>
      <rPr>
        <sz val="9"/>
        <color rgb="FF595959"/>
        <rFont val="Linux Libertine G"/>
        <family val="2"/>
      </rPr>
      <t>積み上げ縦棒</t>
    </r>
    <r>
      <rPr>
        <sz val="9"/>
        <color rgb="FF595959"/>
        <rFont val="Meiryo"/>
        <family val="2"/>
        <charset val="128"/>
      </rPr>
      <t>]</t>
    </r>
  </si>
  <si>
    <t>横軸が四半期になっている</t>
  </si>
  <si>
    <r>
      <rPr>
        <sz val="10"/>
        <color rgb="FF000000"/>
        <rFont val="Linux Libertine G"/>
        <family val="2"/>
      </rPr>
      <t>凡例に</t>
    </r>
    <r>
      <rPr>
        <sz val="10"/>
        <color rgb="FF000000"/>
        <rFont val="Meiryo"/>
        <family val="2"/>
        <charset val="128"/>
      </rPr>
      <t>4</t>
    </r>
    <r>
      <rPr>
        <sz val="10"/>
        <color rgb="FF000000"/>
        <rFont val="Linux Libertine G"/>
        <family val="2"/>
      </rPr>
      <t>部門が出ている</t>
    </r>
  </si>
  <si>
    <t>棒が太くなっている</t>
  </si>
  <si>
    <r>
      <rPr>
        <sz val="10"/>
        <color rgb="FF000000"/>
        <rFont val="Meiryo"/>
        <family val="2"/>
        <charset val="128"/>
      </rPr>
      <t>(</t>
    </r>
    <r>
      <rPr>
        <sz val="10"/>
        <color rgb="FF000000"/>
        <rFont val="Linux Libertine G"/>
        <family val="2"/>
      </rPr>
      <t>考察</t>
    </r>
    <r>
      <rPr>
        <sz val="10"/>
        <color rgb="FF000000"/>
        <rFont val="Meiryo"/>
        <family val="2"/>
        <charset val="128"/>
      </rPr>
      <t>)</t>
    </r>
    <r>
      <rPr>
        <sz val="10"/>
        <color rgb="FF000000"/>
        <rFont val="Linux Libertine G"/>
        <family val="2"/>
      </rPr>
      <t>合計売上が最も大きい四半期は</t>
    </r>
    <r>
      <rPr>
        <sz val="10"/>
        <color rgb="FF000000"/>
        <rFont val="Meiryo"/>
        <family val="2"/>
        <charset val="128"/>
      </rPr>
      <t xml:space="preserve">? → </t>
    </r>
    <r>
      <rPr>
        <sz val="10"/>
        <color rgb="FF000000"/>
        <rFont val="Linux Libertine G"/>
        <family val="2"/>
      </rPr>
      <t>第</t>
    </r>
    <r>
      <rPr>
        <sz val="10"/>
        <color rgb="FF000000"/>
        <rFont val="Meiryo"/>
        <family val="2"/>
        <charset val="128"/>
      </rPr>
      <t>4</t>
    </r>
    <r>
      <rPr>
        <sz val="10"/>
        <color rgb="FF000000"/>
        <rFont val="Linux Libertine G"/>
        <family val="2"/>
      </rPr>
      <t>四半期</t>
    </r>
  </si>
  <si>
    <r>
      <rPr>
        <b/>
        <sz val="14"/>
        <color rgb="FF1F4E78"/>
        <rFont val="Linux Libertine G"/>
        <family val="2"/>
      </rPr>
      <t>問題</t>
    </r>
    <r>
      <rPr>
        <b/>
        <sz val="14"/>
        <color rgb="FF1F4E78"/>
        <rFont val="Meiryo"/>
        <family val="2"/>
        <charset val="128"/>
      </rPr>
      <t xml:space="preserve">5 </t>
    </r>
    <r>
      <rPr>
        <b/>
        <sz val="14"/>
        <color rgb="FF1F4E78"/>
        <rFont val="Linux Libertine G"/>
        <family val="2"/>
      </rPr>
      <t>横棒グラフ</t>
    </r>
    <r>
      <rPr>
        <b/>
        <sz val="14"/>
        <color rgb="FF1F4E78"/>
        <rFont val="Meiryo"/>
        <family val="2"/>
        <charset val="128"/>
      </rPr>
      <t>(</t>
    </r>
    <r>
      <rPr>
        <b/>
        <sz val="14"/>
        <color rgb="FF1F4E78"/>
        <rFont val="Linux Libertine G"/>
        <family val="2"/>
      </rPr>
      <t>並べ替え</t>
    </r>
    <r>
      <rPr>
        <b/>
        <sz val="14"/>
        <color rgb="FF1F4E78"/>
        <rFont val="Meiryo"/>
        <family val="2"/>
        <charset val="128"/>
      </rPr>
      <t>)</t>
    </r>
  </si>
  <si>
    <t>商品</t>
  </si>
  <si>
    <t>売上個数</t>
  </si>
  <si>
    <t>ボールペン</t>
  </si>
  <si>
    <t>ノート</t>
  </si>
  <si>
    <t>付箋</t>
  </si>
  <si>
    <t>ファイル</t>
  </si>
  <si>
    <t>ハサミ</t>
  </si>
  <si>
    <t>のり</t>
  </si>
  <si>
    <t>消しゴム</t>
  </si>
  <si>
    <t>マーカー</t>
  </si>
  <si>
    <r>
      <rPr>
        <sz val="10"/>
        <color rgb="FF000000"/>
        <rFont val="Meiryo"/>
        <family val="2"/>
        <charset val="128"/>
      </rPr>
      <t xml:space="preserve">B4:C12 </t>
    </r>
    <r>
      <rPr>
        <sz val="10"/>
        <color rgb="FF000000"/>
        <rFont val="Linux Libertine G"/>
        <family val="2"/>
      </rPr>
      <t>のデータから、売上個数が多い商品ほど上に来る「集合横棒グラフ」を作成しなさい。</t>
    </r>
  </si>
  <si>
    <r>
      <rPr>
        <sz val="10"/>
        <color rgb="FF000000"/>
        <rFont val="Linux Libertine G"/>
        <family val="2"/>
      </rPr>
      <t xml:space="preserve">  ・グラフタイトル</t>
    </r>
    <r>
      <rPr>
        <sz val="10"/>
        <color rgb="FF000000"/>
        <rFont val="Meiryo"/>
        <family val="2"/>
        <charset val="128"/>
      </rPr>
      <t>:</t>
    </r>
    <r>
      <rPr>
        <sz val="10"/>
        <color rgb="FF000000"/>
        <rFont val="Linux Libertine G"/>
        <family val="2"/>
      </rPr>
      <t>「商品別 売上個数ランキング」</t>
    </r>
  </si>
  <si>
    <r>
      <rPr>
        <sz val="10"/>
        <color rgb="FF000000"/>
        <rFont val="Linux Libertine G"/>
        <family val="2"/>
      </rPr>
      <t xml:space="preserve">  ・凡例は非表示、データラベル</t>
    </r>
    <r>
      <rPr>
        <sz val="10"/>
        <color rgb="FF000000"/>
        <rFont val="Meiryo"/>
        <family val="2"/>
        <charset val="128"/>
      </rPr>
      <t>(</t>
    </r>
    <r>
      <rPr>
        <sz val="10"/>
        <color rgb="FF000000"/>
        <rFont val="Linux Libertine G"/>
        <family val="2"/>
      </rPr>
      <t>値</t>
    </r>
    <r>
      <rPr>
        <sz val="10"/>
        <color rgb="FF000000"/>
        <rFont val="Meiryo"/>
        <family val="2"/>
        <charset val="128"/>
      </rPr>
      <t>)</t>
    </r>
    <r>
      <rPr>
        <sz val="10"/>
        <color rgb="FF000000"/>
        <rFont val="Linux Libertine G"/>
        <family val="2"/>
      </rPr>
      <t>を表示</t>
    </r>
  </si>
  <si>
    <t xml:space="preserve">  ・一番上が「ノート」、一番下が「ハサミ」になっていれば正解</t>
  </si>
  <si>
    <r>
      <rPr>
        <sz val="9"/>
        <color rgb="FF595959"/>
        <rFont val="Meiryo"/>
        <family val="2"/>
        <charset val="128"/>
      </rPr>
      <t xml:space="preserve">B4:C12 </t>
    </r>
    <r>
      <rPr>
        <sz val="9"/>
        <color rgb="FF595959"/>
        <rFont val="Linux Libertine G"/>
        <family val="2"/>
      </rPr>
      <t xml:space="preserve">を選択 → </t>
    </r>
    <r>
      <rPr>
        <sz val="9"/>
        <color rgb="FF595959"/>
        <rFont val="Meiryo"/>
        <family val="2"/>
        <charset val="128"/>
      </rPr>
      <t>[</t>
    </r>
    <r>
      <rPr>
        <sz val="9"/>
        <color rgb="FF595959"/>
        <rFont val="Linux Libertine G"/>
        <family val="2"/>
      </rPr>
      <t>挿入</t>
    </r>
    <r>
      <rPr>
        <sz val="9"/>
        <color rgb="FF595959"/>
        <rFont val="Meiryo"/>
        <family val="2"/>
        <charset val="128"/>
      </rPr>
      <t>]</t>
    </r>
    <r>
      <rPr>
        <sz val="9"/>
        <color rgb="FF595959"/>
        <rFont val="Linux Libertine G"/>
        <family val="2"/>
      </rPr>
      <t>タブ → 縦棒グラフのアイコン → 横棒の中の</t>
    </r>
    <r>
      <rPr>
        <sz val="9"/>
        <color rgb="FF595959"/>
        <rFont val="Meiryo"/>
        <family val="2"/>
        <charset val="128"/>
      </rPr>
      <t>[</t>
    </r>
    <r>
      <rPr>
        <sz val="9"/>
        <color rgb="FF595959"/>
        <rFont val="Linux Libertine G"/>
        <family val="2"/>
      </rPr>
      <t>集合横棒</t>
    </r>
    <r>
      <rPr>
        <sz val="9"/>
        <color rgb="FF595959"/>
        <rFont val="Meiryo"/>
        <family val="2"/>
        <charset val="128"/>
      </rPr>
      <t>]</t>
    </r>
  </si>
  <si>
    <r>
      <rPr>
        <sz val="9"/>
        <color rgb="FF595959"/>
        <rFont val="Linux Libertine G"/>
        <family val="2"/>
      </rPr>
      <t>そのままだと表の上の行がグラフの下に来る</t>
    </r>
    <r>
      <rPr>
        <sz val="9"/>
        <color rgb="FF595959"/>
        <rFont val="Meiryo"/>
        <family val="2"/>
        <charset val="128"/>
      </rPr>
      <t>(</t>
    </r>
    <r>
      <rPr>
        <sz val="9"/>
        <color rgb="FF595959"/>
        <rFont val="Linux Libertine G"/>
        <family val="2"/>
      </rPr>
      <t>横棒の特徴</t>
    </r>
    <r>
      <rPr>
        <sz val="9"/>
        <color rgb="FF595959"/>
        <rFont val="Meiryo"/>
        <family val="2"/>
        <charset val="128"/>
      </rPr>
      <t>)</t>
    </r>
  </si>
  <si>
    <r>
      <rPr>
        <sz val="9"/>
        <color rgb="FF595959"/>
        <rFont val="Linux Libertine G"/>
        <family val="2"/>
      </rPr>
      <t>方法①</t>
    </r>
    <r>
      <rPr>
        <sz val="9"/>
        <color rgb="FF595959"/>
        <rFont val="Meiryo"/>
        <family val="2"/>
        <charset val="128"/>
      </rPr>
      <t xml:space="preserve">:B4:C12 </t>
    </r>
    <r>
      <rPr>
        <sz val="9"/>
        <color rgb="FF595959"/>
        <rFont val="Linux Libertine G"/>
        <family val="2"/>
      </rPr>
      <t xml:space="preserve">を選択 → </t>
    </r>
    <r>
      <rPr>
        <sz val="9"/>
        <color rgb="FF595959"/>
        <rFont val="Meiryo"/>
        <family val="2"/>
        <charset val="128"/>
      </rPr>
      <t>[</t>
    </r>
    <r>
      <rPr>
        <sz val="9"/>
        <color rgb="FF595959"/>
        <rFont val="Linux Libertine G"/>
        <family val="2"/>
      </rPr>
      <t>データ</t>
    </r>
    <r>
      <rPr>
        <sz val="9"/>
        <color rgb="FF595959"/>
        <rFont val="Meiryo"/>
        <family val="2"/>
        <charset val="128"/>
      </rPr>
      <t>]</t>
    </r>
    <r>
      <rPr>
        <sz val="9"/>
        <color rgb="FF595959"/>
        <rFont val="Linux Libertine G"/>
        <family val="2"/>
      </rPr>
      <t xml:space="preserve">タブ → </t>
    </r>
    <r>
      <rPr>
        <sz val="9"/>
        <color rgb="FF595959"/>
        <rFont val="Meiryo"/>
        <family val="2"/>
        <charset val="128"/>
      </rPr>
      <t>[</t>
    </r>
    <r>
      <rPr>
        <sz val="9"/>
        <color rgb="FF595959"/>
        <rFont val="Linux Libertine G"/>
        <family val="2"/>
      </rPr>
      <t>並べ替え</t>
    </r>
    <r>
      <rPr>
        <sz val="9"/>
        <color rgb="FF595959"/>
        <rFont val="Meiryo"/>
        <family val="2"/>
        <charset val="128"/>
      </rPr>
      <t xml:space="preserve">] → </t>
    </r>
    <r>
      <rPr>
        <sz val="9"/>
        <color rgb="FF595959"/>
        <rFont val="Linux Libertine G"/>
        <family val="2"/>
      </rPr>
      <t>列「売上個数」・順序「昇順」</t>
    </r>
  </si>
  <si>
    <r>
      <rPr>
        <sz val="9"/>
        <color rgb="FF595959"/>
        <rFont val="Linux Libertine G"/>
        <family val="2"/>
      </rPr>
      <t>方法②</t>
    </r>
    <r>
      <rPr>
        <sz val="9"/>
        <color rgb="FF595959"/>
        <rFont val="Meiryo"/>
        <family val="2"/>
        <charset val="128"/>
      </rPr>
      <t>:</t>
    </r>
    <r>
      <rPr>
        <sz val="9"/>
        <color rgb="FF595959"/>
        <rFont val="Linux Libertine G"/>
        <family val="2"/>
      </rPr>
      <t>データを『降順』に並べ替え → 縦軸</t>
    </r>
    <r>
      <rPr>
        <sz val="9"/>
        <color rgb="FF595959"/>
        <rFont val="Meiryo"/>
        <family val="2"/>
        <charset val="128"/>
      </rPr>
      <t>(</t>
    </r>
    <r>
      <rPr>
        <sz val="9"/>
        <color rgb="FF595959"/>
        <rFont val="Linux Libertine G"/>
        <family val="2"/>
      </rPr>
      <t>商品名</t>
    </r>
    <r>
      <rPr>
        <sz val="9"/>
        <color rgb="FF595959"/>
        <rFont val="Meiryo"/>
        <family val="2"/>
        <charset val="128"/>
      </rPr>
      <t>)</t>
    </r>
    <r>
      <rPr>
        <sz val="9"/>
        <color rgb="FF595959"/>
        <rFont val="Linux Libertine G"/>
        <family val="2"/>
      </rPr>
      <t xml:space="preserve">を右クリック → </t>
    </r>
    <r>
      <rPr>
        <sz val="9"/>
        <color rgb="FF595959"/>
        <rFont val="Meiryo"/>
        <family val="2"/>
        <charset val="128"/>
      </rPr>
      <t>[</t>
    </r>
    <r>
      <rPr>
        <sz val="9"/>
        <color rgb="FF595959"/>
        <rFont val="Linux Libertine G"/>
        <family val="2"/>
      </rPr>
      <t>軸の書式設定</t>
    </r>
    <r>
      <rPr>
        <sz val="9"/>
        <color rgb="FF595959"/>
        <rFont val="Meiryo"/>
        <family val="2"/>
        <charset val="128"/>
      </rPr>
      <t>] →</t>
    </r>
    <r>
      <rPr>
        <sz val="9"/>
        <color rgb="FF595959"/>
        <rFont val="Linux Libertine G"/>
        <family val="2"/>
      </rPr>
      <t>「軸を反転する」にチェック</t>
    </r>
  </si>
  <si>
    <r>
      <rPr>
        <sz val="9"/>
        <color rgb="FF595959"/>
        <rFont val="Linux Libertine G"/>
        <family val="2"/>
      </rPr>
      <t>データラベル</t>
    </r>
    <r>
      <rPr>
        <sz val="9"/>
        <color rgb="FF595959"/>
        <rFont val="Meiryo"/>
        <family val="2"/>
        <charset val="128"/>
      </rPr>
      <t>:[</t>
    </r>
    <r>
      <rPr>
        <sz val="9"/>
        <color rgb="FF595959"/>
        <rFont val="Linux Libertine G"/>
        <family val="2"/>
      </rPr>
      <t>グラフのデザイン</t>
    </r>
    <r>
      <rPr>
        <sz val="9"/>
        <color rgb="FF595959"/>
        <rFont val="Meiryo"/>
        <family val="2"/>
        <charset val="128"/>
      </rPr>
      <t>] → [</t>
    </r>
    <r>
      <rPr>
        <sz val="9"/>
        <color rgb="FF595959"/>
        <rFont val="Linux Libertine G"/>
        <family val="2"/>
      </rPr>
      <t>グラフ要素を追加</t>
    </r>
    <r>
      <rPr>
        <sz val="9"/>
        <color rgb="FF595959"/>
        <rFont val="Meiryo"/>
        <family val="2"/>
        <charset val="128"/>
      </rPr>
      <t>] → [</t>
    </r>
    <r>
      <rPr>
        <sz val="9"/>
        <color rgb="FF595959"/>
        <rFont val="Linux Libertine G"/>
        <family val="2"/>
      </rPr>
      <t>データラベル</t>
    </r>
    <r>
      <rPr>
        <sz val="9"/>
        <color rgb="FF595959"/>
        <rFont val="Meiryo"/>
        <family val="2"/>
        <charset val="128"/>
      </rPr>
      <t>] → [</t>
    </r>
    <r>
      <rPr>
        <sz val="9"/>
        <color rgb="FF595959"/>
        <rFont val="Linux Libertine G"/>
        <family val="2"/>
      </rPr>
      <t>外側末端</t>
    </r>
    <r>
      <rPr>
        <sz val="9"/>
        <color rgb="FF595959"/>
        <rFont val="Meiryo"/>
        <family val="2"/>
        <charset val="128"/>
      </rPr>
      <t>]</t>
    </r>
  </si>
  <si>
    <r>
      <rPr>
        <sz val="10"/>
        <color rgb="FF000000"/>
        <rFont val="Linux Libertine G"/>
        <family val="2"/>
      </rPr>
      <t>一番上がノート</t>
    </r>
    <r>
      <rPr>
        <sz val="10"/>
        <color rgb="FF000000"/>
        <rFont val="Meiryo"/>
        <family val="2"/>
        <charset val="128"/>
      </rPr>
      <t>(1,340)</t>
    </r>
    <r>
      <rPr>
        <sz val="10"/>
        <color rgb="FF000000"/>
        <rFont val="Linux Libertine G"/>
        <family val="2"/>
      </rPr>
      <t>になっている</t>
    </r>
  </si>
  <si>
    <t>凡例が非表示でデータラベルがある</t>
  </si>
  <si>
    <r>
      <rPr>
        <b/>
        <sz val="14"/>
        <color rgb="FF1F4E78"/>
        <rFont val="Linux Libertine G"/>
        <family val="2"/>
      </rPr>
      <t>問題</t>
    </r>
    <r>
      <rPr>
        <b/>
        <sz val="14"/>
        <color rgb="FF1F4E78"/>
        <rFont val="Meiryo"/>
        <family val="2"/>
        <charset val="128"/>
      </rPr>
      <t xml:space="preserve">6 </t>
    </r>
    <r>
      <rPr>
        <b/>
        <sz val="14"/>
        <color rgb="FF1F4E78"/>
        <rFont val="Linux Libertine G"/>
        <family val="2"/>
      </rPr>
      <t>複合グラフ</t>
    </r>
    <r>
      <rPr>
        <b/>
        <sz val="14"/>
        <color rgb="FF1F4E78"/>
        <rFont val="Meiryo"/>
        <family val="2"/>
        <charset val="128"/>
      </rPr>
      <t>(</t>
    </r>
    <r>
      <rPr>
        <b/>
        <sz val="14"/>
        <color rgb="FF1F4E78"/>
        <rFont val="Linux Libertine G"/>
        <family val="2"/>
      </rPr>
      <t>第</t>
    </r>
    <r>
      <rPr>
        <b/>
        <sz val="14"/>
        <color rgb="FF1F4E78"/>
        <rFont val="Meiryo"/>
        <family val="2"/>
        <charset val="128"/>
      </rPr>
      <t>2</t>
    </r>
    <r>
      <rPr>
        <b/>
        <sz val="14"/>
        <color rgb="FF1F4E78"/>
        <rFont val="Linux Libertine G"/>
        <family val="2"/>
      </rPr>
      <t>軸</t>
    </r>
    <r>
      <rPr>
        <b/>
        <sz val="14"/>
        <color rgb="FF1F4E78"/>
        <rFont val="Meiryo"/>
        <family val="2"/>
        <charset val="128"/>
      </rPr>
      <t>)</t>
    </r>
  </si>
  <si>
    <t>難易度 ★★★</t>
  </si>
  <si>
    <t>年度</t>
  </si>
  <si>
    <r>
      <rPr>
        <b/>
        <sz val="10"/>
        <color rgb="FFFFFFFF"/>
        <rFont val="Linux Libertine G"/>
        <family val="2"/>
      </rPr>
      <t>売上高</t>
    </r>
    <r>
      <rPr>
        <b/>
        <sz val="10"/>
        <color rgb="FFFFFFFF"/>
        <rFont val="Meiryo"/>
        <family val="2"/>
        <charset val="128"/>
      </rPr>
      <t>(</t>
    </r>
    <r>
      <rPr>
        <b/>
        <sz val="10"/>
        <color rgb="FFFFFFFF"/>
        <rFont val="Linux Libertine G"/>
        <family val="2"/>
      </rPr>
      <t>百万円</t>
    </r>
    <r>
      <rPr>
        <b/>
        <sz val="10"/>
        <color rgb="FFFFFFFF"/>
        <rFont val="Meiryo"/>
        <family val="2"/>
        <charset val="128"/>
      </rPr>
      <t>)</t>
    </r>
  </si>
  <si>
    <r>
      <rPr>
        <b/>
        <sz val="10"/>
        <color rgb="FFFFFFFF"/>
        <rFont val="Linux Libertine G"/>
        <family val="2"/>
      </rPr>
      <t>営業利益</t>
    </r>
    <r>
      <rPr>
        <b/>
        <sz val="10"/>
        <color rgb="FFFFFFFF"/>
        <rFont val="Meiryo"/>
        <family val="2"/>
        <charset val="128"/>
      </rPr>
      <t>(</t>
    </r>
    <r>
      <rPr>
        <b/>
        <sz val="10"/>
        <color rgb="FFFFFFFF"/>
        <rFont val="Linux Libertine G"/>
        <family val="2"/>
      </rPr>
      <t>百万円</t>
    </r>
    <r>
      <rPr>
        <b/>
        <sz val="10"/>
        <color rgb="FFFFFFFF"/>
        <rFont val="Meiryo"/>
        <family val="2"/>
        <charset val="128"/>
      </rPr>
      <t>)</t>
    </r>
  </si>
  <si>
    <t>営業利益率</t>
  </si>
  <si>
    <t>2020</t>
  </si>
  <si>
    <t>2021</t>
  </si>
  <si>
    <t>2022</t>
  </si>
  <si>
    <t>2023</t>
  </si>
  <si>
    <t>2024</t>
  </si>
  <si>
    <t>2025</t>
  </si>
  <si>
    <r>
      <rPr>
        <sz val="10"/>
        <color rgb="FF000000"/>
        <rFont val="Linux Libertine G"/>
        <family val="2"/>
      </rPr>
      <t>売上高</t>
    </r>
    <r>
      <rPr>
        <sz val="10"/>
        <color rgb="FF000000"/>
        <rFont val="Meiryo"/>
        <family val="2"/>
        <charset val="128"/>
      </rPr>
      <t>(C</t>
    </r>
    <r>
      <rPr>
        <sz val="10"/>
        <color rgb="FF000000"/>
        <rFont val="Linux Libertine G"/>
        <family val="2"/>
      </rPr>
      <t>列</t>
    </r>
    <r>
      <rPr>
        <sz val="10"/>
        <color rgb="FF000000"/>
        <rFont val="Meiryo"/>
        <family val="2"/>
        <charset val="128"/>
      </rPr>
      <t>)</t>
    </r>
    <r>
      <rPr>
        <sz val="10"/>
        <color rgb="FF000000"/>
        <rFont val="Linux Libertine G"/>
        <family val="2"/>
      </rPr>
      <t>を「集合縦棒」、営業利益率</t>
    </r>
    <r>
      <rPr>
        <sz val="10"/>
        <color rgb="FF000000"/>
        <rFont val="Meiryo"/>
        <family val="2"/>
        <charset val="128"/>
      </rPr>
      <t>(E</t>
    </r>
    <r>
      <rPr>
        <sz val="10"/>
        <color rgb="FF000000"/>
        <rFont val="Linux Libertine G"/>
        <family val="2"/>
      </rPr>
      <t>列</t>
    </r>
    <r>
      <rPr>
        <sz val="10"/>
        <color rgb="FF000000"/>
        <rFont val="Meiryo"/>
        <family val="2"/>
        <charset val="128"/>
      </rPr>
      <t>)</t>
    </r>
    <r>
      <rPr>
        <sz val="10"/>
        <color rgb="FF000000"/>
        <rFont val="Linux Libertine G"/>
        <family val="2"/>
      </rPr>
      <t>を「マーカー付き折れ線」で表す複合グラフを作成しなさい。</t>
    </r>
  </si>
  <si>
    <r>
      <rPr>
        <sz val="10"/>
        <color rgb="FF000000"/>
        <rFont val="Linux Libertine G"/>
        <family val="2"/>
      </rPr>
      <t xml:space="preserve">  ・営業利益率は第</t>
    </r>
    <r>
      <rPr>
        <sz val="10"/>
        <color rgb="FF000000"/>
        <rFont val="Meiryo"/>
        <family val="2"/>
        <charset val="128"/>
      </rPr>
      <t>2</t>
    </r>
    <r>
      <rPr>
        <sz val="10"/>
        <color rgb="FF000000"/>
        <rFont val="Linux Libertine G"/>
        <family val="2"/>
      </rPr>
      <t>軸</t>
    </r>
    <r>
      <rPr>
        <sz val="10"/>
        <color rgb="FF000000"/>
        <rFont val="Meiryo"/>
        <family val="2"/>
        <charset val="128"/>
      </rPr>
      <t>(</t>
    </r>
    <r>
      <rPr>
        <sz val="10"/>
        <color rgb="FF000000"/>
        <rFont val="Linux Libertine G"/>
        <family val="2"/>
      </rPr>
      <t>右側の縦軸</t>
    </r>
    <r>
      <rPr>
        <sz val="10"/>
        <color rgb="FF000000"/>
        <rFont val="Meiryo"/>
        <family val="2"/>
        <charset val="128"/>
      </rPr>
      <t>)</t>
    </r>
    <r>
      <rPr>
        <sz val="10"/>
        <color rgb="FF000000"/>
        <rFont val="Linux Libertine G"/>
        <family val="2"/>
      </rPr>
      <t>に表示する</t>
    </r>
  </si>
  <si>
    <r>
      <rPr>
        <sz val="10"/>
        <color rgb="FF000000"/>
        <rFont val="Linux Libertine G"/>
        <family val="2"/>
      </rPr>
      <t xml:space="preserve">  ・グラフタイトル</t>
    </r>
    <r>
      <rPr>
        <sz val="10"/>
        <color rgb="FF000000"/>
        <rFont val="Meiryo"/>
        <family val="2"/>
        <charset val="128"/>
      </rPr>
      <t>:</t>
    </r>
    <r>
      <rPr>
        <sz val="10"/>
        <color rgb="FF000000"/>
        <rFont val="Linux Libertine G"/>
        <family val="2"/>
      </rPr>
      <t>「売上高と営業利益率の推移」</t>
    </r>
  </si>
  <si>
    <r>
      <rPr>
        <sz val="10"/>
        <color rgb="FF000000"/>
        <rFont val="Linux Libertine G"/>
        <family val="2"/>
      </rPr>
      <t xml:space="preserve">  ・左軸ラベル</t>
    </r>
    <r>
      <rPr>
        <sz val="10"/>
        <color rgb="FF000000"/>
        <rFont val="Meiryo"/>
        <family val="2"/>
        <charset val="128"/>
      </rPr>
      <t>:</t>
    </r>
    <r>
      <rPr>
        <sz val="10"/>
        <color rgb="FF000000"/>
        <rFont val="Linux Libertine G"/>
        <family val="2"/>
      </rPr>
      <t>「売上高</t>
    </r>
    <r>
      <rPr>
        <sz val="10"/>
        <color rgb="FF000000"/>
        <rFont val="Meiryo"/>
        <family val="2"/>
        <charset val="128"/>
      </rPr>
      <t>(</t>
    </r>
    <r>
      <rPr>
        <sz val="10"/>
        <color rgb="FF000000"/>
        <rFont val="Linux Libertine G"/>
        <family val="2"/>
      </rPr>
      <t>百万円</t>
    </r>
    <r>
      <rPr>
        <sz val="10"/>
        <color rgb="FF000000"/>
        <rFont val="Meiryo"/>
        <family val="2"/>
        <charset val="128"/>
      </rPr>
      <t>)</t>
    </r>
    <r>
      <rPr>
        <sz val="10"/>
        <color rgb="FF000000"/>
        <rFont val="Linux Libertine G"/>
        <family val="2"/>
      </rPr>
      <t>」、右軸ラベル</t>
    </r>
    <r>
      <rPr>
        <sz val="10"/>
        <color rgb="FF000000"/>
        <rFont val="Meiryo"/>
        <family val="2"/>
        <charset val="128"/>
      </rPr>
      <t>:</t>
    </r>
    <r>
      <rPr>
        <sz val="10"/>
        <color rgb="FF000000"/>
        <rFont val="Linux Libertine G"/>
        <family val="2"/>
      </rPr>
      <t>「営業利益率」</t>
    </r>
  </si>
  <si>
    <r>
      <rPr>
        <sz val="10"/>
        <color rgb="FF000000"/>
        <rFont val="Linux Libertine G"/>
        <family val="2"/>
      </rPr>
      <t xml:space="preserve">  ・営業利益</t>
    </r>
    <r>
      <rPr>
        <sz val="10"/>
        <color rgb="FF000000"/>
        <rFont val="Meiryo"/>
        <family val="2"/>
        <charset val="128"/>
      </rPr>
      <t>(D</t>
    </r>
    <r>
      <rPr>
        <sz val="10"/>
        <color rgb="FF000000"/>
        <rFont val="Linux Libertine G"/>
        <family val="2"/>
      </rPr>
      <t>列</t>
    </r>
    <r>
      <rPr>
        <sz val="10"/>
        <color rgb="FF000000"/>
        <rFont val="Meiryo"/>
        <family val="2"/>
        <charset val="128"/>
      </rPr>
      <t>)</t>
    </r>
    <r>
      <rPr>
        <sz val="10"/>
        <color rgb="FF000000"/>
        <rFont val="Linux Libertine G"/>
        <family val="2"/>
      </rPr>
      <t>はグラフに含めない</t>
    </r>
  </si>
  <si>
    <r>
      <rPr>
        <sz val="10"/>
        <color rgb="FF000000"/>
        <rFont val="Meiryo"/>
        <family val="2"/>
        <charset val="128"/>
      </rPr>
      <t xml:space="preserve">  ※ E</t>
    </r>
    <r>
      <rPr>
        <sz val="10"/>
        <color rgb="FF000000"/>
        <rFont val="Linux Libertine G"/>
        <family val="2"/>
      </rPr>
      <t>列の営業利益率は数式です。まず式の中身を確認しよう</t>
    </r>
  </si>
  <si>
    <r>
      <rPr>
        <sz val="9"/>
        <color rgb="FF595959"/>
        <rFont val="Meiryo"/>
        <family val="2"/>
        <charset val="128"/>
      </rPr>
      <t xml:space="preserve">B4:C10 </t>
    </r>
    <r>
      <rPr>
        <sz val="9"/>
        <color rgb="FF595959"/>
        <rFont val="Linux Libertine G"/>
        <family val="2"/>
      </rPr>
      <t>を選択 → ⌘</t>
    </r>
    <r>
      <rPr>
        <sz val="9"/>
        <color rgb="FF595959"/>
        <rFont val="Meiryo"/>
        <family val="2"/>
        <charset val="128"/>
      </rPr>
      <t>(command)</t>
    </r>
    <r>
      <rPr>
        <sz val="9"/>
        <color rgb="FF595959"/>
        <rFont val="Linux Libertine G"/>
        <family val="2"/>
      </rPr>
      <t xml:space="preserve">キーを押しながら </t>
    </r>
    <r>
      <rPr>
        <sz val="9"/>
        <color rgb="FF595959"/>
        <rFont val="Meiryo"/>
        <family val="2"/>
        <charset val="128"/>
      </rPr>
      <t xml:space="preserve">E4:E10 </t>
    </r>
    <r>
      <rPr>
        <sz val="9"/>
        <color rgb="FF595959"/>
        <rFont val="Linux Libertine G"/>
        <family val="2"/>
      </rPr>
      <t>を選択</t>
    </r>
    <r>
      <rPr>
        <sz val="9"/>
        <color rgb="FF595959"/>
        <rFont val="Meiryo"/>
        <family val="2"/>
        <charset val="128"/>
      </rPr>
      <t>(</t>
    </r>
    <r>
      <rPr>
        <sz val="9"/>
        <color rgb="FF595959"/>
        <rFont val="Linux Libertine G"/>
        <family val="2"/>
      </rPr>
      <t>離れた範囲の同時選択</t>
    </r>
    <r>
      <rPr>
        <sz val="9"/>
        <color rgb="FF595959"/>
        <rFont val="Meiryo"/>
        <family val="2"/>
        <charset val="128"/>
      </rPr>
      <t>)</t>
    </r>
  </si>
  <si>
    <r>
      <rPr>
        <sz val="9"/>
        <color rgb="FF595959"/>
        <rFont val="Meiryo"/>
        <family val="2"/>
        <charset val="128"/>
      </rPr>
      <t>[</t>
    </r>
    <r>
      <rPr>
        <sz val="9"/>
        <color rgb="FF595959"/>
        <rFont val="Linux Libertine G"/>
        <family val="2"/>
      </rPr>
      <t>挿入</t>
    </r>
    <r>
      <rPr>
        <sz val="9"/>
        <color rgb="FF595959"/>
        <rFont val="Meiryo"/>
        <family val="2"/>
        <charset val="128"/>
      </rPr>
      <t>]</t>
    </r>
    <r>
      <rPr>
        <sz val="9"/>
        <color rgb="FF595959"/>
        <rFont val="Linux Libertine G"/>
        <family val="2"/>
      </rPr>
      <t xml:space="preserve">タブ → 縦棒グラフのアイコン → </t>
    </r>
    <r>
      <rPr>
        <sz val="9"/>
        <color rgb="FF595959"/>
        <rFont val="Meiryo"/>
        <family val="2"/>
        <charset val="128"/>
      </rPr>
      <t>[</t>
    </r>
    <r>
      <rPr>
        <sz val="9"/>
        <color rgb="FF595959"/>
        <rFont val="Linux Libertine G"/>
        <family val="2"/>
      </rPr>
      <t>集合縦棒</t>
    </r>
    <r>
      <rPr>
        <sz val="9"/>
        <color rgb="FF595959"/>
        <rFont val="Meiryo"/>
        <family val="2"/>
        <charset val="128"/>
      </rPr>
      <t>](</t>
    </r>
    <r>
      <rPr>
        <sz val="9"/>
        <color rgb="FF595959"/>
        <rFont val="Linux Libertine G"/>
        <family val="2"/>
      </rPr>
      <t>利益率の棒は小さすぎてほぼ見えない</t>
    </r>
    <r>
      <rPr>
        <sz val="9"/>
        <color rgb="FF595959"/>
        <rFont val="Meiryo"/>
        <family val="2"/>
        <charset val="128"/>
      </rPr>
      <t>)</t>
    </r>
  </si>
  <si>
    <r>
      <rPr>
        <sz val="9"/>
        <color rgb="FF595959"/>
        <rFont val="Linux Libertine G"/>
        <family val="2"/>
      </rPr>
      <t>利益率の系列を選ぶ</t>
    </r>
    <r>
      <rPr>
        <sz val="9"/>
        <color rgb="FF595959"/>
        <rFont val="Meiryo"/>
        <family val="2"/>
        <charset val="128"/>
      </rPr>
      <t>:[</t>
    </r>
    <r>
      <rPr>
        <sz val="9"/>
        <color rgb="FF595959"/>
        <rFont val="Linux Libertine G"/>
        <family val="2"/>
      </rPr>
      <t>書式</t>
    </r>
    <r>
      <rPr>
        <sz val="9"/>
        <color rgb="FF595959"/>
        <rFont val="Meiryo"/>
        <family val="2"/>
        <charset val="128"/>
      </rPr>
      <t>]</t>
    </r>
    <r>
      <rPr>
        <sz val="9"/>
        <color rgb="FF595959"/>
        <rFont val="Linux Libertine G"/>
        <family val="2"/>
      </rPr>
      <t>タブ左端のプルダウンで 系列</t>
    </r>
    <r>
      <rPr>
        <sz val="9"/>
        <color rgb="FF595959"/>
        <rFont val="Meiryo"/>
        <family val="2"/>
        <charset val="128"/>
      </rPr>
      <t>"</t>
    </r>
    <r>
      <rPr>
        <sz val="9"/>
        <color rgb="FF595959"/>
        <rFont val="Linux Libertine G"/>
        <family val="2"/>
      </rPr>
      <t>営業利益率</t>
    </r>
    <r>
      <rPr>
        <sz val="9"/>
        <color rgb="FF595959"/>
        <rFont val="Meiryo"/>
        <family val="2"/>
        <charset val="128"/>
      </rPr>
      <t xml:space="preserve">" </t>
    </r>
    <r>
      <rPr>
        <sz val="9"/>
        <color rgb="FF595959"/>
        <rFont val="Linux Libertine G"/>
        <family val="2"/>
      </rPr>
      <t>を選択</t>
    </r>
  </si>
  <si>
    <r>
      <rPr>
        <sz val="9"/>
        <color rgb="FF595959"/>
        <rFont val="Meiryo"/>
        <family val="2"/>
        <charset val="128"/>
      </rPr>
      <t>[</t>
    </r>
    <r>
      <rPr>
        <sz val="9"/>
        <color rgb="FF595959"/>
        <rFont val="Linux Libertine G"/>
        <family val="2"/>
      </rPr>
      <t>グラフのデザイン</t>
    </r>
    <r>
      <rPr>
        <sz val="9"/>
        <color rgb="FF595959"/>
        <rFont val="Meiryo"/>
        <family val="2"/>
        <charset val="128"/>
      </rPr>
      <t>] → [</t>
    </r>
    <r>
      <rPr>
        <sz val="9"/>
        <color rgb="FF595959"/>
        <rFont val="Linux Libertine G"/>
        <family val="2"/>
      </rPr>
      <t>グラフの種類の変更</t>
    </r>
    <r>
      <rPr>
        <sz val="9"/>
        <color rgb="FF595959"/>
        <rFont val="Meiryo"/>
        <family val="2"/>
        <charset val="128"/>
      </rPr>
      <t>] → [</t>
    </r>
    <r>
      <rPr>
        <sz val="9"/>
        <color rgb="FF595959"/>
        <rFont val="Linux Libertine G"/>
        <family val="2"/>
      </rPr>
      <t>マーカー付き折れ線</t>
    </r>
    <r>
      <rPr>
        <sz val="9"/>
        <color rgb="FF595959"/>
        <rFont val="Meiryo"/>
        <family val="2"/>
        <charset val="128"/>
      </rPr>
      <t>]</t>
    </r>
  </si>
  <si>
    <r>
      <rPr>
        <sz val="9"/>
        <color rgb="FF595959"/>
        <rFont val="Linux Libertine G"/>
        <family val="2"/>
      </rPr>
      <t xml:space="preserve">折れ線を右クリック → </t>
    </r>
    <r>
      <rPr>
        <sz val="9"/>
        <color rgb="FF595959"/>
        <rFont val="Meiryo"/>
        <family val="2"/>
        <charset val="128"/>
      </rPr>
      <t>[</t>
    </r>
    <r>
      <rPr>
        <sz val="9"/>
        <color rgb="FF595959"/>
        <rFont val="Linux Libertine G"/>
        <family val="2"/>
      </rPr>
      <t>データ系列の書式設定</t>
    </r>
    <r>
      <rPr>
        <sz val="9"/>
        <color rgb="FF595959"/>
        <rFont val="Meiryo"/>
        <family val="2"/>
        <charset val="128"/>
      </rPr>
      <t>] → [</t>
    </r>
    <r>
      <rPr>
        <sz val="9"/>
        <color rgb="FF595959"/>
        <rFont val="Linux Libertine G"/>
        <family val="2"/>
      </rPr>
      <t>系列のオプション</t>
    </r>
    <r>
      <rPr>
        <sz val="9"/>
        <color rgb="FF595959"/>
        <rFont val="Meiryo"/>
        <family val="2"/>
        <charset val="128"/>
      </rPr>
      <t>] →</t>
    </r>
    <r>
      <rPr>
        <sz val="9"/>
        <color rgb="FF595959"/>
        <rFont val="Linux Libertine G"/>
        <family val="2"/>
      </rPr>
      <t>「第</t>
    </r>
    <r>
      <rPr>
        <sz val="9"/>
        <color rgb="FF595959"/>
        <rFont val="Meiryo"/>
        <family val="2"/>
        <charset val="128"/>
      </rPr>
      <t>2</t>
    </r>
    <r>
      <rPr>
        <sz val="9"/>
        <color rgb="FF595959"/>
        <rFont val="Linux Libertine G"/>
        <family val="2"/>
      </rPr>
      <t>軸」を選択</t>
    </r>
  </si>
  <si>
    <r>
      <rPr>
        <sz val="9"/>
        <color rgb="FF595959"/>
        <rFont val="Linux Libertine G"/>
        <family val="2"/>
      </rPr>
      <t>右軸のラベル</t>
    </r>
    <r>
      <rPr>
        <sz val="9"/>
        <color rgb="FF595959"/>
        <rFont val="Meiryo"/>
        <family val="2"/>
        <charset val="128"/>
      </rPr>
      <t>:[</t>
    </r>
    <r>
      <rPr>
        <sz val="9"/>
        <color rgb="FF595959"/>
        <rFont val="Linux Libertine G"/>
        <family val="2"/>
      </rPr>
      <t>グラフ要素を追加</t>
    </r>
    <r>
      <rPr>
        <sz val="9"/>
        <color rgb="FF595959"/>
        <rFont val="Meiryo"/>
        <family val="2"/>
        <charset val="128"/>
      </rPr>
      <t>] → [</t>
    </r>
    <r>
      <rPr>
        <sz val="9"/>
        <color rgb="FF595959"/>
        <rFont val="Linux Libertine G"/>
        <family val="2"/>
      </rPr>
      <t>軸ラベル</t>
    </r>
    <r>
      <rPr>
        <sz val="9"/>
        <color rgb="FF595959"/>
        <rFont val="Meiryo"/>
        <family val="2"/>
        <charset val="128"/>
      </rPr>
      <t>] → [</t>
    </r>
    <r>
      <rPr>
        <sz val="9"/>
        <color rgb="FF595959"/>
        <rFont val="Linux Libertine G"/>
        <family val="2"/>
      </rPr>
      <t>第</t>
    </r>
    <r>
      <rPr>
        <sz val="9"/>
        <color rgb="FF595959"/>
        <rFont val="Meiryo"/>
        <family val="2"/>
        <charset val="128"/>
      </rPr>
      <t>2</t>
    </r>
    <r>
      <rPr>
        <sz val="9"/>
        <color rgb="FF595959"/>
        <rFont val="Linux Libertine G"/>
        <family val="2"/>
      </rPr>
      <t>縦軸</t>
    </r>
    <r>
      <rPr>
        <sz val="9"/>
        <color rgb="FF595959"/>
        <rFont val="Meiryo"/>
        <family val="2"/>
        <charset val="128"/>
      </rPr>
      <t>]</t>
    </r>
  </si>
  <si>
    <t>年度が数値だと系列扱いされることがある → ここでは年度を文字列で入力済み</t>
  </si>
  <si>
    <r>
      <rPr>
        <sz val="10"/>
        <color rgb="FF000000"/>
        <rFont val="Linux Libertine G"/>
        <family val="2"/>
      </rPr>
      <t>棒と折れ線が</t>
    </r>
    <r>
      <rPr>
        <sz val="10"/>
        <color rgb="FF000000"/>
        <rFont val="Meiryo"/>
        <family val="2"/>
        <charset val="128"/>
      </rPr>
      <t>1</t>
    </r>
    <r>
      <rPr>
        <sz val="10"/>
        <color rgb="FF000000"/>
        <rFont val="Linux Libertine G"/>
        <family val="2"/>
      </rPr>
      <t>つのグラフにある</t>
    </r>
  </si>
  <si>
    <r>
      <rPr>
        <sz val="10"/>
        <color rgb="FF000000"/>
        <rFont val="Linux Libertine G"/>
        <family val="2"/>
      </rPr>
      <t>右側に</t>
    </r>
    <r>
      <rPr>
        <sz val="10"/>
        <color rgb="FF000000"/>
        <rFont val="Meiryo"/>
        <family val="2"/>
        <charset val="128"/>
      </rPr>
      <t>%</t>
    </r>
    <r>
      <rPr>
        <sz val="10"/>
        <color rgb="FF000000"/>
        <rFont val="Linux Libertine G"/>
        <family val="2"/>
      </rPr>
      <t>の軸がある</t>
    </r>
  </si>
  <si>
    <t>営業利益が含まれていない</t>
  </si>
  <si>
    <r>
      <rPr>
        <sz val="10"/>
        <color rgb="FF000000"/>
        <rFont val="Meiryo"/>
        <family val="2"/>
        <charset val="128"/>
      </rPr>
      <t>(</t>
    </r>
    <r>
      <rPr>
        <sz val="10"/>
        <color rgb="FF000000"/>
        <rFont val="Linux Libertine G"/>
        <family val="2"/>
      </rPr>
      <t>考察</t>
    </r>
    <r>
      <rPr>
        <sz val="10"/>
        <color rgb="FF000000"/>
        <rFont val="Meiryo"/>
        <family val="2"/>
        <charset val="128"/>
      </rPr>
      <t>)</t>
    </r>
    <r>
      <rPr>
        <sz val="10"/>
        <color rgb="FF000000"/>
        <rFont val="Linux Libertine G"/>
        <family val="2"/>
      </rPr>
      <t>営業利益率が下がった年度は</t>
    </r>
    <r>
      <rPr>
        <sz val="10"/>
        <color rgb="FF000000"/>
        <rFont val="Meiryo"/>
        <family val="2"/>
        <charset val="128"/>
      </rPr>
      <t>? → 2022</t>
    </r>
    <r>
      <rPr>
        <sz val="10"/>
        <color rgb="FF000000"/>
        <rFont val="Linux Libertine G"/>
        <family val="2"/>
      </rPr>
      <t>年度</t>
    </r>
  </si>
  <si>
    <r>
      <rPr>
        <b/>
        <sz val="14"/>
        <color rgb="FF1F4E78"/>
        <rFont val="Linux Libertine G"/>
        <family val="2"/>
      </rPr>
      <t>問題</t>
    </r>
    <r>
      <rPr>
        <b/>
        <sz val="14"/>
        <color rgb="FF1F4E78"/>
        <rFont val="Meiryo"/>
        <family val="2"/>
        <charset val="128"/>
      </rPr>
      <t xml:space="preserve">7 </t>
    </r>
    <r>
      <rPr>
        <b/>
        <sz val="14"/>
        <color rgb="FF1F4E78"/>
        <rFont val="Linux Libertine G"/>
        <family val="2"/>
      </rPr>
      <t>散布図</t>
    </r>
    <r>
      <rPr>
        <b/>
        <sz val="14"/>
        <color rgb="FF1F4E78"/>
        <rFont val="Meiryo"/>
        <family val="2"/>
        <charset val="128"/>
      </rPr>
      <t>+</t>
    </r>
    <r>
      <rPr>
        <b/>
        <sz val="14"/>
        <color rgb="FF1F4E78"/>
        <rFont val="Linux Libertine G"/>
        <family val="2"/>
      </rPr>
      <t>近似曲線</t>
    </r>
  </si>
  <si>
    <t>店舗</t>
  </si>
  <si>
    <r>
      <rPr>
        <b/>
        <sz val="10"/>
        <color rgb="FFFFFFFF"/>
        <rFont val="Linux Libertine G"/>
        <family val="2"/>
      </rPr>
      <t>広告費</t>
    </r>
    <r>
      <rPr>
        <b/>
        <sz val="10"/>
        <color rgb="FFFFFFFF"/>
        <rFont val="Meiryo"/>
        <family val="2"/>
        <charset val="128"/>
      </rPr>
      <t>(</t>
    </r>
    <r>
      <rPr>
        <b/>
        <sz val="10"/>
        <color rgb="FFFFFFFF"/>
        <rFont val="Linux Libertine G"/>
        <family val="2"/>
      </rPr>
      <t>万円</t>
    </r>
    <r>
      <rPr>
        <b/>
        <sz val="10"/>
        <color rgb="FFFFFFFF"/>
        <rFont val="Meiryo"/>
        <family val="2"/>
        <charset val="128"/>
      </rPr>
      <t>)</t>
    </r>
  </si>
  <si>
    <r>
      <rPr>
        <b/>
        <sz val="10"/>
        <color rgb="FFFFFFFF"/>
        <rFont val="Linux Libertine G"/>
        <family val="2"/>
      </rPr>
      <t>売上</t>
    </r>
    <r>
      <rPr>
        <b/>
        <sz val="10"/>
        <color rgb="FFFFFFFF"/>
        <rFont val="Meiryo"/>
        <family val="2"/>
        <charset val="128"/>
      </rPr>
      <t>(</t>
    </r>
    <r>
      <rPr>
        <b/>
        <sz val="10"/>
        <color rgb="FFFFFFFF"/>
        <rFont val="Linux Libertine G"/>
        <family val="2"/>
      </rPr>
      <t>万円</t>
    </r>
    <r>
      <rPr>
        <b/>
        <sz val="10"/>
        <color rgb="FFFFFFFF"/>
        <rFont val="Meiryo"/>
        <family val="2"/>
        <charset val="128"/>
      </rPr>
      <t>)</t>
    </r>
  </si>
  <si>
    <r>
      <rPr>
        <sz val="10"/>
        <color rgb="FF000000"/>
        <rFont val="Linux Libertine G"/>
        <family val="2"/>
      </rPr>
      <t>店舗</t>
    </r>
    <r>
      <rPr>
        <sz val="10"/>
        <color rgb="FF000000"/>
        <rFont val="Meiryo"/>
        <family val="2"/>
        <charset val="128"/>
      </rPr>
      <t>01</t>
    </r>
  </si>
  <si>
    <r>
      <rPr>
        <sz val="10"/>
        <color rgb="FF000000"/>
        <rFont val="Linux Libertine G"/>
        <family val="2"/>
      </rPr>
      <t>店舗</t>
    </r>
    <r>
      <rPr>
        <sz val="10"/>
        <color rgb="FF000000"/>
        <rFont val="Meiryo"/>
        <family val="2"/>
        <charset val="128"/>
      </rPr>
      <t>02</t>
    </r>
  </si>
  <si>
    <r>
      <rPr>
        <sz val="10"/>
        <color rgb="FF000000"/>
        <rFont val="Linux Libertine G"/>
        <family val="2"/>
      </rPr>
      <t>店舗</t>
    </r>
    <r>
      <rPr>
        <sz val="10"/>
        <color rgb="FF000000"/>
        <rFont val="Meiryo"/>
        <family val="2"/>
        <charset val="128"/>
      </rPr>
      <t>03</t>
    </r>
  </si>
  <si>
    <r>
      <rPr>
        <sz val="10"/>
        <color rgb="FF000000"/>
        <rFont val="Linux Libertine G"/>
        <family val="2"/>
      </rPr>
      <t>店舗</t>
    </r>
    <r>
      <rPr>
        <sz val="10"/>
        <color rgb="FF000000"/>
        <rFont val="Meiryo"/>
        <family val="2"/>
        <charset val="128"/>
      </rPr>
      <t>04</t>
    </r>
  </si>
  <si>
    <r>
      <rPr>
        <sz val="10"/>
        <color rgb="FF000000"/>
        <rFont val="Linux Libertine G"/>
        <family val="2"/>
      </rPr>
      <t>店舗</t>
    </r>
    <r>
      <rPr>
        <sz val="10"/>
        <color rgb="FF000000"/>
        <rFont val="Meiryo"/>
        <family val="2"/>
        <charset val="128"/>
      </rPr>
      <t>05</t>
    </r>
  </si>
  <si>
    <r>
      <rPr>
        <sz val="10"/>
        <color rgb="FF000000"/>
        <rFont val="Linux Libertine G"/>
        <family val="2"/>
      </rPr>
      <t>店舗</t>
    </r>
    <r>
      <rPr>
        <sz val="10"/>
        <color rgb="FF000000"/>
        <rFont val="Meiryo"/>
        <family val="2"/>
        <charset val="128"/>
      </rPr>
      <t>06</t>
    </r>
  </si>
  <si>
    <r>
      <rPr>
        <sz val="10"/>
        <color rgb="FF000000"/>
        <rFont val="Linux Libertine G"/>
        <family val="2"/>
      </rPr>
      <t>店舗</t>
    </r>
    <r>
      <rPr>
        <sz val="10"/>
        <color rgb="FF000000"/>
        <rFont val="Meiryo"/>
        <family val="2"/>
        <charset val="128"/>
      </rPr>
      <t>07</t>
    </r>
  </si>
  <si>
    <r>
      <rPr>
        <sz val="10"/>
        <color rgb="FF000000"/>
        <rFont val="Linux Libertine G"/>
        <family val="2"/>
      </rPr>
      <t>店舗</t>
    </r>
    <r>
      <rPr>
        <sz val="10"/>
        <color rgb="FF000000"/>
        <rFont val="Meiryo"/>
        <family val="2"/>
        <charset val="128"/>
      </rPr>
      <t>08</t>
    </r>
  </si>
  <si>
    <r>
      <rPr>
        <sz val="10"/>
        <color rgb="FF000000"/>
        <rFont val="Linux Libertine G"/>
        <family val="2"/>
      </rPr>
      <t>店舗</t>
    </r>
    <r>
      <rPr>
        <sz val="10"/>
        <color rgb="FF000000"/>
        <rFont val="Meiryo"/>
        <family val="2"/>
        <charset val="128"/>
      </rPr>
      <t>09</t>
    </r>
  </si>
  <si>
    <r>
      <rPr>
        <sz val="10"/>
        <color rgb="FF000000"/>
        <rFont val="Linux Libertine G"/>
        <family val="2"/>
      </rPr>
      <t>店舗</t>
    </r>
    <r>
      <rPr>
        <sz val="10"/>
        <color rgb="FF000000"/>
        <rFont val="Meiryo"/>
        <family val="2"/>
        <charset val="128"/>
      </rPr>
      <t>10</t>
    </r>
  </si>
  <si>
    <r>
      <rPr>
        <sz val="10"/>
        <color rgb="FF000000"/>
        <rFont val="Linux Libertine G"/>
        <family val="2"/>
      </rPr>
      <t>店舗</t>
    </r>
    <r>
      <rPr>
        <sz val="10"/>
        <color rgb="FF000000"/>
        <rFont val="Meiryo"/>
        <family val="2"/>
        <charset val="128"/>
      </rPr>
      <t>11</t>
    </r>
  </si>
  <si>
    <r>
      <rPr>
        <sz val="10"/>
        <color rgb="FF000000"/>
        <rFont val="Linux Libertine G"/>
        <family val="2"/>
      </rPr>
      <t>店舗</t>
    </r>
    <r>
      <rPr>
        <sz val="10"/>
        <color rgb="FF000000"/>
        <rFont val="Meiryo"/>
        <family val="2"/>
        <charset val="128"/>
      </rPr>
      <t>12</t>
    </r>
  </si>
  <si>
    <t>相関係数</t>
  </si>
  <si>
    <t>傾き</t>
  </si>
  <si>
    <t>切片</t>
  </si>
  <si>
    <r>
      <rPr>
        <sz val="10"/>
        <color rgb="FF000000"/>
        <rFont val="Linux Libertine G"/>
        <family val="2"/>
      </rPr>
      <t>広告費</t>
    </r>
    <r>
      <rPr>
        <sz val="10"/>
        <color rgb="FF000000"/>
        <rFont val="Meiryo"/>
        <family val="2"/>
        <charset val="128"/>
      </rPr>
      <t>(C</t>
    </r>
    <r>
      <rPr>
        <sz val="10"/>
        <color rgb="FF000000"/>
        <rFont val="Linux Libertine G"/>
        <family val="2"/>
      </rPr>
      <t>列</t>
    </r>
    <r>
      <rPr>
        <sz val="10"/>
        <color rgb="FF000000"/>
        <rFont val="Meiryo"/>
        <family val="2"/>
        <charset val="128"/>
      </rPr>
      <t>)</t>
    </r>
    <r>
      <rPr>
        <sz val="10"/>
        <color rgb="FF000000"/>
        <rFont val="Linux Libertine G"/>
        <family val="2"/>
      </rPr>
      <t>を横軸、売上</t>
    </r>
    <r>
      <rPr>
        <sz val="10"/>
        <color rgb="FF000000"/>
        <rFont val="Meiryo"/>
        <family val="2"/>
        <charset val="128"/>
      </rPr>
      <t>(D</t>
    </r>
    <r>
      <rPr>
        <sz val="10"/>
        <color rgb="FF000000"/>
        <rFont val="Linux Libertine G"/>
        <family val="2"/>
      </rPr>
      <t>列</t>
    </r>
    <r>
      <rPr>
        <sz val="10"/>
        <color rgb="FF000000"/>
        <rFont val="Meiryo"/>
        <family val="2"/>
        <charset val="128"/>
      </rPr>
      <t>)</t>
    </r>
    <r>
      <rPr>
        <sz val="10"/>
        <color rgb="FF000000"/>
        <rFont val="Linux Libertine G"/>
        <family val="2"/>
      </rPr>
      <t>を縦軸にした「散布図」を作成しなさい。</t>
    </r>
    <r>
      <rPr>
        <sz val="10"/>
        <color rgb="FF000000"/>
        <rFont val="Meiryo"/>
        <family val="2"/>
        <charset val="128"/>
      </rPr>
      <t>(</t>
    </r>
    <r>
      <rPr>
        <sz val="10"/>
        <color rgb="FF000000"/>
        <rFont val="Linux Libertine G"/>
        <family val="2"/>
      </rPr>
      <t xml:space="preserve">店舗名 </t>
    </r>
    <r>
      <rPr>
        <sz val="10"/>
        <color rgb="FF000000"/>
        <rFont val="Meiryo"/>
        <family val="2"/>
        <charset val="128"/>
      </rPr>
      <t>B</t>
    </r>
    <r>
      <rPr>
        <sz val="10"/>
        <color rgb="FF000000"/>
        <rFont val="Linux Libertine G"/>
        <family val="2"/>
      </rPr>
      <t>列は使わない</t>
    </r>
    <r>
      <rPr>
        <sz val="10"/>
        <color rgb="FF000000"/>
        <rFont val="Meiryo"/>
        <family val="2"/>
        <charset val="128"/>
      </rPr>
      <t>)</t>
    </r>
  </si>
  <si>
    <r>
      <rPr>
        <sz val="10"/>
        <color rgb="FF000000"/>
        <rFont val="Linux Libertine G"/>
        <family val="2"/>
      </rPr>
      <t xml:space="preserve">  ・グラフタイトル</t>
    </r>
    <r>
      <rPr>
        <sz val="10"/>
        <color rgb="FF000000"/>
        <rFont val="Meiryo"/>
        <family val="2"/>
        <charset val="128"/>
      </rPr>
      <t>:</t>
    </r>
    <r>
      <rPr>
        <sz val="10"/>
        <color rgb="FF000000"/>
        <rFont val="Linux Libertine G"/>
        <family val="2"/>
      </rPr>
      <t>「広告費と売上の関係」、横軸ラベル</t>
    </r>
    <r>
      <rPr>
        <sz val="10"/>
        <color rgb="FF000000"/>
        <rFont val="Meiryo"/>
        <family val="2"/>
        <charset val="128"/>
      </rPr>
      <t>:</t>
    </r>
    <r>
      <rPr>
        <sz val="10"/>
        <color rgb="FF000000"/>
        <rFont val="Linux Libertine G"/>
        <family val="2"/>
      </rPr>
      <t>「広告費</t>
    </r>
    <r>
      <rPr>
        <sz val="10"/>
        <color rgb="FF000000"/>
        <rFont val="Meiryo"/>
        <family val="2"/>
        <charset val="128"/>
      </rPr>
      <t>(</t>
    </r>
    <r>
      <rPr>
        <sz val="10"/>
        <color rgb="FF000000"/>
        <rFont val="Linux Libertine G"/>
        <family val="2"/>
      </rPr>
      <t>万円</t>
    </r>
    <r>
      <rPr>
        <sz val="10"/>
        <color rgb="FF000000"/>
        <rFont val="Meiryo"/>
        <family val="2"/>
        <charset val="128"/>
      </rPr>
      <t>)</t>
    </r>
    <r>
      <rPr>
        <sz val="10"/>
        <color rgb="FF000000"/>
        <rFont val="Linux Libertine G"/>
        <family val="2"/>
      </rPr>
      <t>」、縦軸ラベル</t>
    </r>
    <r>
      <rPr>
        <sz val="10"/>
        <color rgb="FF000000"/>
        <rFont val="Meiryo"/>
        <family val="2"/>
        <charset val="128"/>
      </rPr>
      <t>:</t>
    </r>
    <r>
      <rPr>
        <sz val="10"/>
        <color rgb="FF000000"/>
        <rFont val="Linux Libertine G"/>
        <family val="2"/>
      </rPr>
      <t>「売上</t>
    </r>
    <r>
      <rPr>
        <sz val="10"/>
        <color rgb="FF000000"/>
        <rFont val="Meiryo"/>
        <family val="2"/>
        <charset val="128"/>
      </rPr>
      <t>(</t>
    </r>
    <r>
      <rPr>
        <sz val="10"/>
        <color rgb="FF000000"/>
        <rFont val="Linux Libertine G"/>
        <family val="2"/>
      </rPr>
      <t>万円</t>
    </r>
    <r>
      <rPr>
        <sz val="10"/>
        <color rgb="FF000000"/>
        <rFont val="Meiryo"/>
        <family val="2"/>
        <charset val="128"/>
      </rPr>
      <t>)</t>
    </r>
    <r>
      <rPr>
        <sz val="10"/>
        <color rgb="FF000000"/>
        <rFont val="Linux Libertine G"/>
        <family val="2"/>
      </rPr>
      <t>」</t>
    </r>
  </si>
  <si>
    <r>
      <rPr>
        <sz val="10"/>
        <color rgb="FF000000"/>
        <rFont val="Linux Libertine G"/>
        <family val="2"/>
      </rPr>
      <t xml:space="preserve">  ・線形近似曲線を追加し、「数式」と「</t>
    </r>
    <r>
      <rPr>
        <sz val="10"/>
        <color rgb="FF000000"/>
        <rFont val="Meiryo"/>
        <family val="2"/>
        <charset val="128"/>
      </rPr>
      <t>R-2</t>
    </r>
    <r>
      <rPr>
        <sz val="10"/>
        <color rgb="FF000000"/>
        <rFont val="Linux Libertine G"/>
        <family val="2"/>
      </rPr>
      <t>乗値」をグラフに表示する</t>
    </r>
  </si>
  <si>
    <r>
      <rPr>
        <sz val="10"/>
        <color rgb="FF000000"/>
        <rFont val="Linux Libertine G"/>
        <family val="2"/>
      </rPr>
      <t xml:space="preserve">  ・グラフの数式の傾き・切片が、</t>
    </r>
    <r>
      <rPr>
        <sz val="10"/>
        <color rgb="FF000000"/>
        <rFont val="Meiryo"/>
        <family val="2"/>
        <charset val="128"/>
      </rPr>
      <t>C19</t>
    </r>
    <r>
      <rPr>
        <sz val="10"/>
        <color rgb="FF000000"/>
        <rFont val="Linux Libertine G"/>
        <family val="2"/>
      </rPr>
      <t>・</t>
    </r>
    <r>
      <rPr>
        <sz val="10"/>
        <color rgb="FF000000"/>
        <rFont val="Meiryo"/>
        <family val="2"/>
        <charset val="128"/>
      </rPr>
      <t xml:space="preserve">C20 </t>
    </r>
    <r>
      <rPr>
        <sz val="10"/>
        <color rgb="FF000000"/>
        <rFont val="Linux Libertine G"/>
        <family val="2"/>
      </rPr>
      <t>の関数の結果と一致することを確認する</t>
    </r>
  </si>
  <si>
    <r>
      <rPr>
        <sz val="9"/>
        <color rgb="FF595959"/>
        <rFont val="Meiryo"/>
        <family val="2"/>
        <charset val="128"/>
      </rPr>
      <t xml:space="preserve">C4:D16 </t>
    </r>
    <r>
      <rPr>
        <sz val="9"/>
        <color rgb="FF595959"/>
        <rFont val="Linux Libertine G"/>
        <family val="2"/>
      </rPr>
      <t xml:space="preserve">を選択 → </t>
    </r>
    <r>
      <rPr>
        <sz val="9"/>
        <color rgb="FF595959"/>
        <rFont val="Meiryo"/>
        <family val="2"/>
        <charset val="128"/>
      </rPr>
      <t>[</t>
    </r>
    <r>
      <rPr>
        <sz val="9"/>
        <color rgb="FF595959"/>
        <rFont val="Linux Libertine G"/>
        <family val="2"/>
      </rPr>
      <t>挿入</t>
    </r>
    <r>
      <rPr>
        <sz val="9"/>
        <color rgb="FF595959"/>
        <rFont val="Meiryo"/>
        <family val="2"/>
        <charset val="128"/>
      </rPr>
      <t>]</t>
    </r>
    <r>
      <rPr>
        <sz val="9"/>
        <color rgb="FF595959"/>
        <rFont val="Linux Libertine G"/>
        <family val="2"/>
      </rPr>
      <t xml:space="preserve">タブ → 散布図のアイコン → </t>
    </r>
    <r>
      <rPr>
        <sz val="9"/>
        <color rgb="FF595959"/>
        <rFont val="Meiryo"/>
        <family val="2"/>
        <charset val="128"/>
      </rPr>
      <t>[</t>
    </r>
    <r>
      <rPr>
        <sz val="9"/>
        <color rgb="FF595959"/>
        <rFont val="Linux Libertine G"/>
        <family val="2"/>
      </rPr>
      <t>散布図</t>
    </r>
    <r>
      <rPr>
        <sz val="9"/>
        <color rgb="FF595959"/>
        <rFont val="Meiryo"/>
        <family val="2"/>
        <charset val="128"/>
      </rPr>
      <t>](</t>
    </r>
    <r>
      <rPr>
        <sz val="9"/>
        <color rgb="FF595959"/>
        <rFont val="Linux Libertine G"/>
        <family val="2"/>
      </rPr>
      <t>点だけのもの</t>
    </r>
    <r>
      <rPr>
        <sz val="9"/>
        <color rgb="FF595959"/>
        <rFont val="Meiryo"/>
        <family val="2"/>
        <charset val="128"/>
      </rPr>
      <t>)</t>
    </r>
  </si>
  <si>
    <r>
      <rPr>
        <sz val="9"/>
        <color rgb="FF595959"/>
        <rFont val="Meiryo"/>
        <family val="2"/>
        <charset val="128"/>
      </rPr>
      <t>[</t>
    </r>
    <r>
      <rPr>
        <sz val="9"/>
        <color rgb="FF595959"/>
        <rFont val="Linux Libertine G"/>
        <family val="2"/>
      </rPr>
      <t>グラフのデザイン</t>
    </r>
    <r>
      <rPr>
        <sz val="9"/>
        <color rgb="FF595959"/>
        <rFont val="Meiryo"/>
        <family val="2"/>
        <charset val="128"/>
      </rPr>
      <t>] → [</t>
    </r>
    <r>
      <rPr>
        <sz val="9"/>
        <color rgb="FF595959"/>
        <rFont val="Linux Libertine G"/>
        <family val="2"/>
      </rPr>
      <t>グラフ要素を追加</t>
    </r>
    <r>
      <rPr>
        <sz val="9"/>
        <color rgb="FF595959"/>
        <rFont val="Meiryo"/>
        <family val="2"/>
        <charset val="128"/>
      </rPr>
      <t>] → [</t>
    </r>
    <r>
      <rPr>
        <sz val="9"/>
        <color rgb="FF595959"/>
        <rFont val="Linux Libertine G"/>
        <family val="2"/>
      </rPr>
      <t>近似曲線</t>
    </r>
    <r>
      <rPr>
        <sz val="9"/>
        <color rgb="FF595959"/>
        <rFont val="Meiryo"/>
        <family val="2"/>
        <charset val="128"/>
      </rPr>
      <t>] → [</t>
    </r>
    <r>
      <rPr>
        <sz val="9"/>
        <color rgb="FF595959"/>
        <rFont val="Linux Libertine G"/>
        <family val="2"/>
      </rPr>
      <t>その他の近似曲線オプション</t>
    </r>
    <r>
      <rPr>
        <sz val="9"/>
        <color rgb="FF595959"/>
        <rFont val="Meiryo"/>
        <family val="2"/>
        <charset val="128"/>
      </rPr>
      <t>]</t>
    </r>
  </si>
  <si>
    <r>
      <rPr>
        <sz val="9"/>
        <color rgb="FF595959"/>
        <rFont val="Linux Libertine G"/>
        <family val="2"/>
      </rPr>
      <t xml:space="preserve">  → 右側の画面で「線形近似」を選び、下の「グラフに数式を表示する」「グラフに </t>
    </r>
    <r>
      <rPr>
        <sz val="9"/>
        <color rgb="FF595959"/>
        <rFont val="Meiryo"/>
        <family val="2"/>
        <charset val="128"/>
      </rPr>
      <t xml:space="preserve">R-2 </t>
    </r>
    <r>
      <rPr>
        <sz val="9"/>
        <color rgb="FF595959"/>
        <rFont val="Linux Libertine G"/>
        <family val="2"/>
      </rPr>
      <t>乗値を表示する」にチェック</t>
    </r>
  </si>
  <si>
    <r>
      <rPr>
        <sz val="9"/>
        <color rgb="FF595959"/>
        <rFont val="Linux Libertine G"/>
        <family val="2"/>
      </rPr>
      <t>軸ラベル</t>
    </r>
    <r>
      <rPr>
        <sz val="9"/>
        <color rgb="FF595959"/>
        <rFont val="Meiryo"/>
        <family val="2"/>
        <charset val="128"/>
      </rPr>
      <t>:[</t>
    </r>
    <r>
      <rPr>
        <sz val="9"/>
        <color rgb="FF595959"/>
        <rFont val="Linux Libertine G"/>
        <family val="2"/>
      </rPr>
      <t>グラフ要素を追加</t>
    </r>
    <r>
      <rPr>
        <sz val="9"/>
        <color rgb="FF595959"/>
        <rFont val="Meiryo"/>
        <family val="2"/>
        <charset val="128"/>
      </rPr>
      <t>] → [</t>
    </r>
    <r>
      <rPr>
        <sz val="9"/>
        <color rgb="FF595959"/>
        <rFont val="Linux Libertine G"/>
        <family val="2"/>
      </rPr>
      <t>軸ラベル</t>
    </r>
    <r>
      <rPr>
        <sz val="9"/>
        <color rgb="FF595959"/>
        <rFont val="Meiryo"/>
        <family val="2"/>
        <charset val="128"/>
      </rPr>
      <t>] → [</t>
    </r>
    <r>
      <rPr>
        <sz val="9"/>
        <color rgb="FF595959"/>
        <rFont val="Linux Libertine G"/>
        <family val="2"/>
      </rPr>
      <t>第</t>
    </r>
    <r>
      <rPr>
        <sz val="9"/>
        <color rgb="FF595959"/>
        <rFont val="Meiryo"/>
        <family val="2"/>
        <charset val="128"/>
      </rPr>
      <t>1</t>
    </r>
    <r>
      <rPr>
        <sz val="9"/>
        <color rgb="FF595959"/>
        <rFont val="Linux Libertine G"/>
        <family val="2"/>
      </rPr>
      <t>横軸</t>
    </r>
    <r>
      <rPr>
        <sz val="9"/>
        <color rgb="FF595959"/>
        <rFont val="Meiryo"/>
        <family val="2"/>
        <charset val="128"/>
      </rPr>
      <t xml:space="preserve">] </t>
    </r>
    <r>
      <rPr>
        <sz val="9"/>
        <color rgb="FF595959"/>
        <rFont val="Linux Libertine G"/>
        <family val="2"/>
      </rPr>
      <t xml:space="preserve">と </t>
    </r>
    <r>
      <rPr>
        <sz val="9"/>
        <color rgb="FF595959"/>
        <rFont val="Meiryo"/>
        <family val="2"/>
        <charset val="128"/>
      </rPr>
      <t>[</t>
    </r>
    <r>
      <rPr>
        <sz val="9"/>
        <color rgb="FF595959"/>
        <rFont val="Linux Libertine G"/>
        <family val="2"/>
      </rPr>
      <t>第</t>
    </r>
    <r>
      <rPr>
        <sz val="9"/>
        <color rgb="FF595959"/>
        <rFont val="Meiryo"/>
        <family val="2"/>
        <charset val="128"/>
      </rPr>
      <t>1</t>
    </r>
    <r>
      <rPr>
        <sz val="9"/>
        <color rgb="FF595959"/>
        <rFont val="Linux Libertine G"/>
        <family val="2"/>
      </rPr>
      <t>縦軸</t>
    </r>
    <r>
      <rPr>
        <sz val="9"/>
        <color rgb="FF595959"/>
        <rFont val="Meiryo"/>
        <family val="2"/>
        <charset val="128"/>
      </rPr>
      <t>]</t>
    </r>
  </si>
  <si>
    <r>
      <rPr>
        <sz val="9"/>
        <color rgb="FF595959"/>
        <rFont val="Linux Libertine G"/>
        <family val="2"/>
      </rPr>
      <t xml:space="preserve">散布図では左の列が自動的に </t>
    </r>
    <r>
      <rPr>
        <sz val="9"/>
        <color rgb="FF595959"/>
        <rFont val="Meiryo"/>
        <family val="2"/>
        <charset val="128"/>
      </rPr>
      <t>X(</t>
    </r>
    <r>
      <rPr>
        <sz val="9"/>
        <color rgb="FF595959"/>
        <rFont val="Linux Libertine G"/>
        <family val="2"/>
      </rPr>
      <t>横軸</t>
    </r>
    <r>
      <rPr>
        <sz val="9"/>
        <color rgb="FF595959"/>
        <rFont val="Meiryo"/>
        <family val="2"/>
        <charset val="128"/>
      </rPr>
      <t>)</t>
    </r>
    <r>
      <rPr>
        <sz val="9"/>
        <color rgb="FF595959"/>
        <rFont val="Linux Libertine G"/>
        <family val="2"/>
      </rPr>
      <t>になる</t>
    </r>
  </si>
  <si>
    <r>
      <rPr>
        <sz val="9"/>
        <color rgb="FF595959"/>
        <rFont val="Meiryo"/>
        <family val="2"/>
        <charset val="128"/>
      </rPr>
      <t>CORREL=</t>
    </r>
    <r>
      <rPr>
        <sz val="9"/>
        <color rgb="FF595959"/>
        <rFont val="Linux Libertine G"/>
        <family val="2"/>
      </rPr>
      <t>相関係数</t>
    </r>
    <r>
      <rPr>
        <sz val="9"/>
        <color rgb="FF595959"/>
        <rFont val="Meiryo"/>
        <family val="2"/>
        <charset val="128"/>
      </rPr>
      <t>(1</t>
    </r>
    <r>
      <rPr>
        <sz val="9"/>
        <color rgb="FF595959"/>
        <rFont val="Linux Libertine G"/>
        <family val="2"/>
      </rPr>
      <t>に近いほど強い正の相関</t>
    </r>
    <r>
      <rPr>
        <sz val="9"/>
        <color rgb="FF595959"/>
        <rFont val="Meiryo"/>
        <family val="2"/>
        <charset val="128"/>
      </rPr>
      <t>)</t>
    </r>
    <r>
      <rPr>
        <sz val="9"/>
        <color rgb="FF595959"/>
        <rFont val="Linux Libertine G"/>
        <family val="2"/>
      </rPr>
      <t>、</t>
    </r>
    <r>
      <rPr>
        <sz val="9"/>
        <color rgb="FF595959"/>
        <rFont val="Meiryo"/>
        <family val="2"/>
        <charset val="128"/>
      </rPr>
      <t>R-2</t>
    </r>
    <r>
      <rPr>
        <sz val="9"/>
        <color rgb="FF595959"/>
        <rFont val="Linux Libertine G"/>
        <family val="2"/>
      </rPr>
      <t>乗値</t>
    </r>
    <r>
      <rPr>
        <sz val="9"/>
        <color rgb="FF595959"/>
        <rFont val="Meiryo"/>
        <family val="2"/>
        <charset val="128"/>
      </rPr>
      <t>=</t>
    </r>
    <r>
      <rPr>
        <sz val="9"/>
        <color rgb="FF595959"/>
        <rFont val="Linux Libertine G"/>
        <family val="2"/>
      </rPr>
      <t>相関係数の</t>
    </r>
    <r>
      <rPr>
        <sz val="9"/>
        <color rgb="FF595959"/>
        <rFont val="Meiryo"/>
        <family val="2"/>
        <charset val="128"/>
      </rPr>
      <t>2</t>
    </r>
    <r>
      <rPr>
        <sz val="9"/>
        <color rgb="FF595959"/>
        <rFont val="Linux Libertine G"/>
        <family val="2"/>
      </rPr>
      <t>乗</t>
    </r>
  </si>
  <si>
    <t>点だけが表示され、線でつながっていない</t>
  </si>
  <si>
    <r>
      <rPr>
        <sz val="10"/>
        <color rgb="FF000000"/>
        <rFont val="Linux Libertine G"/>
        <family val="2"/>
      </rPr>
      <t>近似直線と数式・</t>
    </r>
    <r>
      <rPr>
        <sz val="10"/>
        <color rgb="FF000000"/>
        <rFont val="Meiryo"/>
        <family val="2"/>
        <charset val="128"/>
      </rPr>
      <t>R²</t>
    </r>
    <r>
      <rPr>
        <sz val="10"/>
        <color rgb="FF000000"/>
        <rFont val="Linux Libertine G"/>
        <family val="2"/>
      </rPr>
      <t>が表示されている</t>
    </r>
  </si>
  <si>
    <r>
      <rPr>
        <sz val="10"/>
        <color rgb="FF000000"/>
        <rFont val="Linux Libertine G"/>
        <family val="2"/>
      </rPr>
      <t>数式の傾き・切片が</t>
    </r>
    <r>
      <rPr>
        <sz val="10"/>
        <color rgb="FF000000"/>
        <rFont val="Meiryo"/>
        <family val="2"/>
        <charset val="128"/>
      </rPr>
      <t>C19</t>
    </r>
    <r>
      <rPr>
        <sz val="10"/>
        <color rgb="FF000000"/>
        <rFont val="Linux Libertine G"/>
        <family val="2"/>
      </rPr>
      <t>・</t>
    </r>
    <r>
      <rPr>
        <sz val="10"/>
        <color rgb="FF000000"/>
        <rFont val="Meiryo"/>
        <family val="2"/>
        <charset val="128"/>
      </rPr>
      <t>C20</t>
    </r>
    <r>
      <rPr>
        <sz val="10"/>
        <color rgb="FF000000"/>
        <rFont val="Linux Libertine G"/>
        <family val="2"/>
      </rPr>
      <t>と一致</t>
    </r>
  </si>
  <si>
    <r>
      <rPr>
        <sz val="10"/>
        <color rgb="FF000000"/>
        <rFont val="Meiryo"/>
        <family val="2"/>
        <charset val="128"/>
      </rPr>
      <t>(</t>
    </r>
    <r>
      <rPr>
        <sz val="10"/>
        <color rgb="FF000000"/>
        <rFont val="Linux Libertine G"/>
        <family val="2"/>
      </rPr>
      <t>考察</t>
    </r>
    <r>
      <rPr>
        <sz val="10"/>
        <color rgb="FF000000"/>
        <rFont val="Meiryo"/>
        <family val="2"/>
        <charset val="128"/>
      </rPr>
      <t>)</t>
    </r>
    <r>
      <rPr>
        <sz val="10"/>
        <color rgb="FF000000"/>
        <rFont val="Linux Libertine G"/>
        <family val="2"/>
      </rPr>
      <t>広告費</t>
    </r>
    <r>
      <rPr>
        <sz val="10"/>
        <color rgb="FF000000"/>
        <rFont val="Meiryo"/>
        <family val="2"/>
        <charset val="128"/>
      </rPr>
      <t>70</t>
    </r>
    <r>
      <rPr>
        <sz val="10"/>
        <color rgb="FF000000"/>
        <rFont val="Linux Libertine G"/>
        <family val="2"/>
      </rPr>
      <t>万円のときの予測売上は</t>
    </r>
    <r>
      <rPr>
        <sz val="10"/>
        <color rgb="FF000000"/>
        <rFont val="Meiryo"/>
        <family val="2"/>
        <charset val="128"/>
      </rPr>
      <t xml:space="preserve">? → </t>
    </r>
    <r>
      <rPr>
        <sz val="10"/>
        <color rgb="FF000000"/>
        <rFont val="Linux Libertine G"/>
        <family val="2"/>
      </rPr>
      <t>約</t>
    </r>
    <r>
      <rPr>
        <sz val="10"/>
        <color rgb="FF000000"/>
        <rFont val="Meiryo"/>
        <family val="2"/>
        <charset val="128"/>
      </rPr>
      <t>570</t>
    </r>
    <r>
      <rPr>
        <sz val="10"/>
        <color rgb="FF000000"/>
        <rFont val="Linux Libertine G"/>
        <family val="2"/>
      </rPr>
      <t>万円</t>
    </r>
  </si>
  <si>
    <r>
      <rPr>
        <b/>
        <sz val="14"/>
        <color rgb="FF1F4E78"/>
        <rFont val="Linux Libertine G"/>
        <family val="2"/>
      </rPr>
      <t>問題</t>
    </r>
    <r>
      <rPr>
        <b/>
        <sz val="14"/>
        <color rgb="FF1F4E78"/>
        <rFont val="Meiryo"/>
        <family val="2"/>
        <charset val="128"/>
      </rPr>
      <t xml:space="preserve">1 </t>
    </r>
    <r>
      <rPr>
        <b/>
        <sz val="14"/>
        <color rgb="FF1F4E78"/>
        <rFont val="Linux Libertine G"/>
        <family val="2"/>
      </rPr>
      <t>集合縦棒グラフ【解答】</t>
    </r>
  </si>
  <si>
    <r>
      <rPr>
        <b/>
        <sz val="14"/>
        <color rgb="FF1F4E78"/>
        <rFont val="Linux Libertine G"/>
        <family val="2"/>
      </rPr>
      <t>問題</t>
    </r>
    <r>
      <rPr>
        <b/>
        <sz val="14"/>
        <color rgb="FF1F4E78"/>
        <rFont val="Meiryo"/>
        <family val="2"/>
        <charset val="128"/>
      </rPr>
      <t xml:space="preserve">2 </t>
    </r>
    <r>
      <rPr>
        <b/>
        <sz val="14"/>
        <color rgb="FF1F4E78"/>
        <rFont val="Linux Libertine G"/>
        <family val="2"/>
      </rPr>
      <t>折れ線グラフ【解答】</t>
    </r>
  </si>
  <si>
    <r>
      <rPr>
        <b/>
        <sz val="14"/>
        <color rgb="FF1F4E78"/>
        <rFont val="Linux Libertine G"/>
        <family val="2"/>
      </rPr>
      <t>問題</t>
    </r>
    <r>
      <rPr>
        <b/>
        <sz val="14"/>
        <color rgb="FF1F4E78"/>
        <rFont val="Meiryo"/>
        <family val="2"/>
        <charset val="128"/>
      </rPr>
      <t xml:space="preserve">3 </t>
    </r>
    <r>
      <rPr>
        <b/>
        <sz val="14"/>
        <color rgb="FF1F4E78"/>
        <rFont val="Linux Libertine G"/>
        <family val="2"/>
      </rPr>
      <t>円グラフ【解答】</t>
    </r>
  </si>
  <si>
    <r>
      <rPr>
        <b/>
        <sz val="14"/>
        <color rgb="FF1F4E78"/>
        <rFont val="Linux Libertine G"/>
        <family val="2"/>
      </rPr>
      <t>問題</t>
    </r>
    <r>
      <rPr>
        <b/>
        <sz val="14"/>
        <color rgb="FF1F4E78"/>
        <rFont val="Meiryo"/>
        <family val="2"/>
        <charset val="128"/>
      </rPr>
      <t xml:space="preserve">4 </t>
    </r>
    <r>
      <rPr>
        <b/>
        <sz val="14"/>
        <color rgb="FF1F4E78"/>
        <rFont val="Linux Libertine G"/>
        <family val="2"/>
      </rPr>
      <t>積み上げ縦棒グラフ【解答】</t>
    </r>
  </si>
  <si>
    <r>
      <rPr>
        <b/>
        <sz val="14"/>
        <color rgb="FF1F4E78"/>
        <rFont val="Linux Libertine G"/>
        <family val="2"/>
      </rPr>
      <t>問題</t>
    </r>
    <r>
      <rPr>
        <b/>
        <sz val="14"/>
        <color rgb="FF1F4E78"/>
        <rFont val="Meiryo"/>
        <family val="2"/>
        <charset val="128"/>
      </rPr>
      <t xml:space="preserve">5 </t>
    </r>
    <r>
      <rPr>
        <b/>
        <sz val="14"/>
        <color rgb="FF1F4E78"/>
        <rFont val="Linux Libertine G"/>
        <family val="2"/>
      </rPr>
      <t>横棒グラフ</t>
    </r>
    <r>
      <rPr>
        <b/>
        <sz val="14"/>
        <color rgb="FF1F4E78"/>
        <rFont val="Meiryo"/>
        <family val="2"/>
        <charset val="128"/>
      </rPr>
      <t>(</t>
    </r>
    <r>
      <rPr>
        <b/>
        <sz val="14"/>
        <color rgb="FF1F4E78"/>
        <rFont val="Linux Libertine G"/>
        <family val="2"/>
      </rPr>
      <t>並べ替え</t>
    </r>
    <r>
      <rPr>
        <b/>
        <sz val="14"/>
        <color rgb="FF1F4E78"/>
        <rFont val="Meiryo"/>
        <family val="2"/>
        <charset val="128"/>
      </rPr>
      <t>)</t>
    </r>
    <r>
      <rPr>
        <b/>
        <sz val="14"/>
        <color rgb="FF1F4E78"/>
        <rFont val="Linux Libertine G"/>
        <family val="2"/>
      </rPr>
      <t>【解答】</t>
    </r>
  </si>
  <si>
    <r>
      <rPr>
        <sz val="9"/>
        <color rgb="FFC00000"/>
        <rFont val="Linux Libertine G"/>
        <family val="2"/>
      </rPr>
      <t>※ データを「売上個数」の昇順に並べ替えてから作成</t>
    </r>
    <r>
      <rPr>
        <sz val="9"/>
        <color rgb="FFC00000"/>
        <rFont val="Meiryo"/>
        <family val="2"/>
        <charset val="128"/>
      </rPr>
      <t>(</t>
    </r>
    <r>
      <rPr>
        <sz val="9"/>
        <color rgb="FFC00000"/>
        <rFont val="Linux Libertine G"/>
        <family val="2"/>
      </rPr>
      <t>横棒は下から順に描かれるため、昇順にすると上が</t>
    </r>
    <r>
      <rPr>
        <sz val="9"/>
        <color rgb="FFC00000"/>
        <rFont val="Meiryo"/>
        <family val="2"/>
        <charset val="128"/>
      </rPr>
      <t>1</t>
    </r>
    <r>
      <rPr>
        <sz val="9"/>
        <color rgb="FFC00000"/>
        <rFont val="Linux Libertine G"/>
        <family val="2"/>
      </rPr>
      <t>位になる</t>
    </r>
    <r>
      <rPr>
        <sz val="9"/>
        <color rgb="FFC00000"/>
        <rFont val="Meiryo"/>
        <family val="2"/>
        <charset val="128"/>
      </rPr>
      <t>)</t>
    </r>
  </si>
  <si>
    <r>
      <rPr>
        <b/>
        <sz val="14"/>
        <color rgb="FF1F4E78"/>
        <rFont val="Linux Libertine G"/>
        <family val="2"/>
      </rPr>
      <t>問題</t>
    </r>
    <r>
      <rPr>
        <b/>
        <sz val="14"/>
        <color rgb="FF1F4E78"/>
        <rFont val="Meiryo"/>
        <family val="2"/>
        <charset val="128"/>
      </rPr>
      <t xml:space="preserve">6 </t>
    </r>
    <r>
      <rPr>
        <b/>
        <sz val="14"/>
        <color rgb="FF1F4E78"/>
        <rFont val="Linux Libertine G"/>
        <family val="2"/>
      </rPr>
      <t>複合グラフ</t>
    </r>
    <r>
      <rPr>
        <b/>
        <sz val="14"/>
        <color rgb="FF1F4E78"/>
        <rFont val="Meiryo"/>
        <family val="2"/>
        <charset val="128"/>
      </rPr>
      <t>(</t>
    </r>
    <r>
      <rPr>
        <b/>
        <sz val="14"/>
        <color rgb="FF1F4E78"/>
        <rFont val="Linux Libertine G"/>
        <family val="2"/>
      </rPr>
      <t>第</t>
    </r>
    <r>
      <rPr>
        <b/>
        <sz val="14"/>
        <color rgb="FF1F4E78"/>
        <rFont val="Meiryo"/>
        <family val="2"/>
        <charset val="128"/>
      </rPr>
      <t>2</t>
    </r>
    <r>
      <rPr>
        <b/>
        <sz val="14"/>
        <color rgb="FF1F4E78"/>
        <rFont val="Linux Libertine G"/>
        <family val="2"/>
      </rPr>
      <t>軸</t>
    </r>
    <r>
      <rPr>
        <b/>
        <sz val="14"/>
        <color rgb="FF1F4E78"/>
        <rFont val="Meiryo"/>
        <family val="2"/>
        <charset val="128"/>
      </rPr>
      <t>)</t>
    </r>
    <r>
      <rPr>
        <b/>
        <sz val="14"/>
        <color rgb="FF1F4E78"/>
        <rFont val="Linux Libertine G"/>
        <family val="2"/>
      </rPr>
      <t>【解答】</t>
    </r>
  </si>
  <si>
    <r>
      <rPr>
        <b/>
        <sz val="14"/>
        <color rgb="FF1F4E78"/>
        <rFont val="Linux Libertine G"/>
        <family val="2"/>
      </rPr>
      <t>問題</t>
    </r>
    <r>
      <rPr>
        <b/>
        <sz val="14"/>
        <color rgb="FF1F4E78"/>
        <rFont val="Meiryo"/>
        <family val="2"/>
        <charset val="128"/>
      </rPr>
      <t xml:space="preserve">7 </t>
    </r>
    <r>
      <rPr>
        <b/>
        <sz val="14"/>
        <color rgb="FF1F4E78"/>
        <rFont val="Linux Libertine G"/>
        <family val="2"/>
      </rPr>
      <t>散布図</t>
    </r>
    <r>
      <rPr>
        <b/>
        <sz val="14"/>
        <color rgb="FF1F4E78"/>
        <rFont val="Meiryo"/>
        <family val="2"/>
        <charset val="128"/>
      </rPr>
      <t>+</t>
    </r>
    <r>
      <rPr>
        <b/>
        <sz val="14"/>
        <color rgb="FF1F4E78"/>
        <rFont val="Linux Libertine G"/>
        <family val="2"/>
      </rPr>
      <t>近似曲線【解答】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</si>
</sst>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%"/>
    <numFmt numFmtId="177" formatCode="0.000"/>
    <numFmt numFmtId="178" formatCode="0.0"/>
  </numFmts>
  <fonts count="22">
    <font>
      <sz val="11"/>
      <color theme="1"/>
      <name val="Linux Libertine G"/>
      <family val="2"/>
    </font>
    <font>
      <sz val="10"/>
      <color rgb="FF000000"/>
      <name val="Linux Libertine G"/>
      <family val="2"/>
    </font>
    <font>
      <b/>
      <sz val="14"/>
      <color rgb="FF1F4E78"/>
      <name val="Meiryo"/>
      <family val="2"/>
      <charset val="128"/>
    </font>
    <font>
      <b/>
      <sz val="14"/>
      <color rgb="FF1F4E78"/>
      <name val="Linux Libertine G"/>
      <family val="2"/>
    </font>
    <font>
      <sz val="9"/>
      <color rgb="FF666666"/>
      <name val="Linux Libertine G"/>
      <family val="2"/>
    </font>
    <font>
      <b/>
      <sz val="10"/>
      <color rgb="FFFFFFFF"/>
      <name val="Meiryo"/>
      <family val="2"/>
      <charset val="128"/>
    </font>
    <font>
      <b/>
      <sz val="10"/>
      <color rgb="FFFFFFFF"/>
      <name val="Linux Libertine G"/>
      <family val="2"/>
    </font>
    <font>
      <u/>
      <sz val="10"/>
      <color rgb="FF0563C1"/>
      <name val="Linux Libertine G"/>
      <family val="2"/>
    </font>
    <font>
      <sz val="10"/>
      <color rgb="FF000000"/>
      <name val="Meiryo"/>
      <family val="2"/>
      <charset val="128"/>
    </font>
    <font>
      <b/>
      <sz val="11"/>
      <color rgb="FF000000"/>
      <name val="Linux Libertine G"/>
      <family val="2"/>
    </font>
    <font>
      <sz val="10"/>
      <color rgb="FF0000FF"/>
      <name val="Meiryo"/>
      <family val="2"/>
      <charset val="128"/>
    </font>
    <font>
      <b/>
      <sz val="10"/>
      <color rgb="FF000000"/>
      <name val="Linux Libertine G"/>
      <family val="2"/>
    </font>
    <font>
      <b/>
      <sz val="10"/>
      <color rgb="FF000000"/>
      <name val="Meiryo"/>
      <family val="2"/>
      <charset val="128"/>
    </font>
    <font>
      <b/>
      <sz val="11"/>
      <color rgb="FFC00000"/>
      <name val="Linux Libertine G"/>
      <family val="2"/>
    </font>
    <font>
      <b/>
      <sz val="11"/>
      <color rgb="FFC00000"/>
      <name val="Meiryo"/>
      <family val="2"/>
      <charset val="128"/>
    </font>
    <font>
      <sz val="9"/>
      <color rgb="FF595959"/>
      <name val="Meiryo"/>
      <family val="2"/>
      <charset val="128"/>
    </font>
    <font>
      <sz val="9"/>
      <color rgb="FF595959"/>
      <name val="Linux Libertine G"/>
      <family val="2"/>
    </font>
    <font>
      <b/>
      <sz val="11"/>
      <color rgb="FF375623"/>
      <name val="Linux Libertine G"/>
      <family val="2"/>
    </font>
    <font>
      <b/>
      <sz val="11"/>
      <color rgb="FF375623"/>
      <name val="Meiryo"/>
      <family val="2"/>
      <charset val="128"/>
    </font>
    <font>
      <sz val="9"/>
      <color rgb="FFC00000"/>
      <name val="Linux Libertine G"/>
      <family val="2"/>
    </font>
    <font>
      <sz val="9"/>
      <color rgb="FFC00000"/>
      <name val="Meiryo"/>
      <family val="2"/>
      <charset val="128"/>
    </font>
    <font>
      <sz val="6"/>
      <name val="Noto Sans CJK JP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2" borderId="1" xfId="0" applyFont="1" applyFill="1" applyBorder="1"/>
    <xf numFmtId="0" fontId="6" fillId="2" borderId="1" xfId="0" applyFont="1" applyFill="1" applyBorder="1"/>
    <xf numFmtId="0" fontId="7" fillId="0" borderId="1" xfId="0" applyFont="1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9" fillId="0" borderId="0" xfId="0" applyFont="1"/>
    <xf numFmtId="0" fontId="8" fillId="0" borderId="0" xfId="0" applyFont="1"/>
    <xf numFmtId="0" fontId="3" fillId="0" borderId="0" xfId="0" applyFont="1"/>
    <xf numFmtId="0" fontId="6" fillId="2" borderId="1" xfId="0" applyFont="1" applyFill="1" applyBorder="1" applyAlignment="1">
      <alignment horizontal="center"/>
    </xf>
    <xf numFmtId="3" fontId="10" fillId="0" borderId="1" xfId="0" applyNumberFormat="1" applyFont="1" applyBorder="1"/>
    <xf numFmtId="0" fontId="11" fillId="0" borderId="0" xfId="0" applyFont="1"/>
    <xf numFmtId="3" fontId="12" fillId="0" borderId="1" xfId="0" applyNumberFormat="1" applyFont="1" applyBorder="1"/>
    <xf numFmtId="0" fontId="13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" fillId="3" borderId="1" xfId="0" applyFont="1" applyFill="1" applyBorder="1" applyAlignment="1">
      <alignment horizontal="center"/>
    </xf>
    <xf numFmtId="0" fontId="8" fillId="0" borderId="1" xfId="0" applyFont="1" applyBorder="1"/>
    <xf numFmtId="176" fontId="8" fillId="0" borderId="1" xfId="0" applyNumberFormat="1" applyFont="1" applyBorder="1"/>
    <xf numFmtId="177" fontId="8" fillId="0" borderId="1" xfId="0" applyNumberFormat="1" applyFont="1" applyBorder="1"/>
    <xf numFmtId="2" fontId="8" fillId="0" borderId="1" xfId="0" applyNumberFormat="1" applyFont="1" applyBorder="1"/>
    <xf numFmtId="178" fontId="8" fillId="0" borderId="1" xfId="0" applyNumberFormat="1" applyFont="1" applyBorder="1"/>
    <xf numFmtId="0" fontId="19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66666"/>
      <rgbColor rgb="FF800080"/>
      <rgbColor rgb="FF4F81BD"/>
      <rgbColor rgb="FF70AD47"/>
      <rgbColor rgb="FF878787"/>
      <rgbColor rgb="FF9999FF"/>
      <rgbColor rgb="FFBE4B48"/>
      <rgbColor rgb="FFFFF2CC"/>
      <rgbColor rgb="FFCCFFFF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4BACC6"/>
      <rgbColor rgb="FF9BBB59"/>
      <rgbColor rgb="FFFFCC00"/>
      <rgbColor rgb="FFF79646"/>
      <rgbColor rgb="FFFF6600"/>
      <rgbColor rgb="FF8064A2"/>
      <rgbColor rgb="FF999999"/>
      <rgbColor rgb="FF003366"/>
      <rgbColor rgb="FF4A7EBB"/>
      <rgbColor rgb="FF003300"/>
      <rgbColor rgb="FF595959"/>
      <rgbColor rgb="FF993300"/>
      <rgbColor rgb="FFC0504D"/>
      <rgbColor rgb="FF1F4E78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支店別売上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問題1!$B$5:$B$10</c:f>
              <c:strCache>
                <c:ptCount val="6"/>
                <c:pt idx="0">
                  <c:v>札幌</c:v>
                </c:pt>
                <c:pt idx="1">
                  <c:v>仙台</c:v>
                </c:pt>
                <c:pt idx="2">
                  <c:v>東京</c:v>
                </c:pt>
                <c:pt idx="3">
                  <c:v>名古屋</c:v>
                </c:pt>
                <c:pt idx="4">
                  <c:v>大阪</c:v>
                </c:pt>
                <c:pt idx="5">
                  <c:v>福岡</c:v>
                </c:pt>
              </c:strCache>
            </c:strRef>
          </c:cat>
          <c:val>
            <c:numRef>
              <c:f>問題1!$C$5:$C$10</c:f>
              <c:numCache>
                <c:formatCode>#,##0</c:formatCode>
                <c:ptCount val="6"/>
                <c:pt idx="0">
                  <c:v>4200</c:v>
                </c:pt>
                <c:pt idx="1">
                  <c:v>3100</c:v>
                </c:pt>
                <c:pt idx="2">
                  <c:v>8600</c:v>
                </c:pt>
                <c:pt idx="3">
                  <c:v>5400</c:v>
                </c:pt>
                <c:pt idx="4">
                  <c:v>7300</c:v>
                </c:pt>
                <c:pt idx="5">
                  <c:v>3900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B6-E040-A3D5-15C0F83D7C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2283391"/>
        <c:axId val="2011631551"/>
      </c:barChart>
      <c:catAx>
        <c:axId val="19922833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支店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11631551"/>
        <c:crosses val="autoZero"/>
        <c:auto val="1"/>
        <c:lblAlgn val="ctr"/>
        <c:lblOffset val="100"/>
        <c:noMultiLvlLbl val="0"/>
      </c:catAx>
      <c:valAx>
        <c:axId val="2011631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売上（千円）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922833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製品別 月次売上推移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問題2!$C$4</c:f>
              <c:strCache>
                <c:ptCount val="1"/>
                <c:pt idx="0">
                  <c:v>製品A(万円)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問題2!$B$5:$B$16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問題2!$C$5:$C$16</c:f>
              <c:numCache>
                <c:formatCode>#,##0</c:formatCode>
                <c:ptCount val="12"/>
                <c:pt idx="0">
                  <c:v>120</c:v>
                </c:pt>
                <c:pt idx="1">
                  <c:v>115</c:v>
                </c:pt>
                <c:pt idx="2">
                  <c:v>140</c:v>
                </c:pt>
                <c:pt idx="3">
                  <c:v>155</c:v>
                </c:pt>
                <c:pt idx="4">
                  <c:v>170</c:v>
                </c:pt>
                <c:pt idx="5">
                  <c:v>190</c:v>
                </c:pt>
                <c:pt idx="6">
                  <c:v>230</c:v>
                </c:pt>
                <c:pt idx="7">
                  <c:v>250</c:v>
                </c:pt>
                <c:pt idx="8">
                  <c:v>200</c:v>
                </c:pt>
                <c:pt idx="9">
                  <c:v>175</c:v>
                </c:pt>
                <c:pt idx="10">
                  <c:v>160</c:v>
                </c:pt>
                <c:pt idx="11">
                  <c:v>210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30-5D45-96C9-3EC2F56F6F15}"/>
            </c:ext>
          </c:extLst>
        </c:ser>
        <c:ser>
          <c:idx val="1"/>
          <c:order val="1"/>
          <c:tx>
            <c:strRef>
              <c:f>問題2!$D$4</c:f>
              <c:strCache>
                <c:ptCount val="1"/>
                <c:pt idx="0">
                  <c:v>製品B(万円)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問題2!$B$5:$B$16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問題2!$D$5:$D$16</c:f>
              <c:numCache>
                <c:formatCode>#,##0</c:formatCode>
                <c:ptCount val="12"/>
                <c:pt idx="0">
                  <c:v>80</c:v>
                </c:pt>
                <c:pt idx="1">
                  <c:v>95</c:v>
                </c:pt>
                <c:pt idx="2">
                  <c:v>100</c:v>
                </c:pt>
                <c:pt idx="3">
                  <c:v>110</c:v>
                </c:pt>
                <c:pt idx="4">
                  <c:v>105</c:v>
                </c:pt>
                <c:pt idx="5">
                  <c:v>120</c:v>
                </c:pt>
                <c:pt idx="6">
                  <c:v>130</c:v>
                </c:pt>
                <c:pt idx="7">
                  <c:v>125</c:v>
                </c:pt>
                <c:pt idx="8">
                  <c:v>140</c:v>
                </c:pt>
                <c:pt idx="9">
                  <c:v>150</c:v>
                </c:pt>
                <c:pt idx="10">
                  <c:v>165</c:v>
                </c:pt>
                <c:pt idx="11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30-5D45-96C9-3EC2F56F6F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11654207"/>
        <c:axId val="2028771903"/>
      </c:lineChart>
      <c:catAx>
        <c:axId val="2011654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28771903"/>
        <c:crosses val="autoZero"/>
        <c:auto val="1"/>
        <c:lblAlgn val="ctr"/>
        <c:lblOffset val="100"/>
        <c:noMultiLvlLbl val="0"/>
      </c:catAx>
      <c:valAx>
        <c:axId val="2028771903"/>
        <c:scaling>
          <c:orientation val="minMax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売上（万円）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11654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ja-JP" altLang="en-US" sz="1800" b="1" u="none" strike="noStrike">
                <a:solidFill>
                  <a:srgbClr val="000000"/>
                </a:solidFill>
                <a:uFillTx/>
                <a:latin typeface="Calibri"/>
              </a:rPr>
              <a:t>支店別売上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解答1!$C$4</c:f>
              <c:strCache>
                <c:ptCount val="1"/>
                <c:pt idx="0">
                  <c:v>売上(千円)</c:v>
                </c:pt>
              </c:strCache>
            </c:strRef>
          </c:tx>
          <c:spPr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ja-JP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解答1!$B$5:$B$10</c:f>
              <c:strCache>
                <c:ptCount val="6"/>
                <c:pt idx="0">
                  <c:v>札幌</c:v>
                </c:pt>
                <c:pt idx="1">
                  <c:v>仙台</c:v>
                </c:pt>
                <c:pt idx="2">
                  <c:v>東京</c:v>
                </c:pt>
                <c:pt idx="3">
                  <c:v>名古屋</c:v>
                </c:pt>
                <c:pt idx="4">
                  <c:v>大阪</c:v>
                </c:pt>
                <c:pt idx="5">
                  <c:v>福岡</c:v>
                </c:pt>
              </c:strCache>
            </c:strRef>
          </c:cat>
          <c:val>
            <c:numRef>
              <c:f>解答1!$C$5:$C$10</c:f>
              <c:numCache>
                <c:formatCode>#,##0</c:formatCode>
                <c:ptCount val="6"/>
                <c:pt idx="0">
                  <c:v>4200</c:v>
                </c:pt>
                <c:pt idx="1">
                  <c:v>3100</c:v>
                </c:pt>
                <c:pt idx="2">
                  <c:v>8600</c:v>
                </c:pt>
                <c:pt idx="3">
                  <c:v>5400</c:v>
                </c:pt>
                <c:pt idx="4">
                  <c:v>7300</c:v>
                </c:pt>
                <c:pt idx="5">
                  <c:v>3900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E3-914A-8FDA-234158EFD1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8158774"/>
        <c:axId val="23160181"/>
      </c:barChart>
      <c:catAx>
        <c:axId val="7815877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ja-JP" alt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支店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ja-JP"/>
          </a:p>
        </c:txPr>
        <c:crossAx val="23160181"/>
        <c:crosses val="autoZero"/>
        <c:auto val="1"/>
        <c:lblAlgn val="ctr"/>
        <c:lblOffset val="100"/>
        <c:noMultiLvlLbl val="0"/>
      </c:catAx>
      <c:valAx>
        <c:axId val="2316018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ja-JP" alt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売上</a:t>
                </a:r>
                <a:r>
                  <a:rPr lang="en-US" altLang="ja-JP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(</a:t>
                </a:r>
                <a:r>
                  <a:rPr lang="ja-JP" alt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千円</a:t>
                </a:r>
                <a:r>
                  <a:rPr lang="en-US" altLang="ja-JP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ja-JP"/>
          </a:p>
        </c:txPr>
        <c:crossAx val="78158774"/>
        <c:crosses val="autoZero"/>
        <c:crossBetween val="between"/>
      </c:valAx>
      <c:spPr>
        <a:ln w="0">
          <a:noFill/>
        </a:ln>
      </c:spPr>
    </c:plotArea>
    <c:plotVisOnly val="1"/>
    <c:dispBlanksAs val="gap"/>
    <c:showDLblsOverMax val="1"/>
  </c:chart>
  <c:spPr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ja-JP" altLang="en-US" sz="1800" b="1" u="none" strike="noStrike">
                <a:solidFill>
                  <a:srgbClr val="000000"/>
                </a:solidFill>
                <a:uFillTx/>
                <a:latin typeface="Calibri"/>
              </a:rPr>
              <a:t>製品別 月次売上推移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解答2!$C$4</c:f>
              <c:strCache>
                <c:ptCount val="1"/>
                <c:pt idx="0">
                  <c:v>製品A(万円)</c:v>
                </c:pt>
              </c:strCache>
            </c:strRef>
          </c:tx>
          <c:spPr>
            <a:ln w="12600">
              <a:solidFill>
                <a:srgbClr val="4A7EBB"/>
              </a:solidFill>
              <a:round/>
            </a:ln>
          </c:spPr>
          <c:marker>
            <c:symbol val="circle"/>
            <c:size val="5"/>
            <c:spPr>
              <a:solidFill>
                <a:srgbClr val="4A7EB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解答2!$B$5:$B$16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解答2!$C$5:$C$16</c:f>
              <c:numCache>
                <c:formatCode>#,##0</c:formatCode>
                <c:ptCount val="12"/>
                <c:pt idx="0">
                  <c:v>120</c:v>
                </c:pt>
                <c:pt idx="1">
                  <c:v>115</c:v>
                </c:pt>
                <c:pt idx="2">
                  <c:v>140</c:v>
                </c:pt>
                <c:pt idx="3">
                  <c:v>155</c:v>
                </c:pt>
                <c:pt idx="4">
                  <c:v>170</c:v>
                </c:pt>
                <c:pt idx="5">
                  <c:v>190</c:v>
                </c:pt>
                <c:pt idx="6">
                  <c:v>230</c:v>
                </c:pt>
                <c:pt idx="7">
                  <c:v>250</c:v>
                </c:pt>
                <c:pt idx="8">
                  <c:v>200</c:v>
                </c:pt>
                <c:pt idx="9">
                  <c:v>175</c:v>
                </c:pt>
                <c:pt idx="10">
                  <c:v>160</c:v>
                </c:pt>
                <c:pt idx="11">
                  <c:v>210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AD-3A4C-A03B-679C46224F63}"/>
            </c:ext>
          </c:extLst>
        </c:ser>
        <c:ser>
          <c:idx val="1"/>
          <c:order val="1"/>
          <c:tx>
            <c:strRef>
              <c:f>解答2!$D$4</c:f>
              <c:strCache>
                <c:ptCount val="1"/>
                <c:pt idx="0">
                  <c:v>製品B(万円)</c:v>
                </c:pt>
              </c:strCache>
            </c:strRef>
          </c:tx>
          <c:spPr>
            <a:ln w="12600">
              <a:solidFill>
                <a:srgbClr val="BE4B48"/>
              </a:solidFill>
              <a:round/>
            </a:ln>
          </c:spPr>
          <c:marker>
            <c:symbol val="circle"/>
            <c:size val="5"/>
            <c:spPr>
              <a:solidFill>
                <a:srgbClr val="BE4B48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解答2!$B$5:$B$16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解答2!$D$5:$D$16</c:f>
              <c:numCache>
                <c:formatCode>#,##0</c:formatCode>
                <c:ptCount val="12"/>
                <c:pt idx="0">
                  <c:v>80</c:v>
                </c:pt>
                <c:pt idx="1">
                  <c:v>95</c:v>
                </c:pt>
                <c:pt idx="2">
                  <c:v>100</c:v>
                </c:pt>
                <c:pt idx="3">
                  <c:v>110</c:v>
                </c:pt>
                <c:pt idx="4">
                  <c:v>105</c:v>
                </c:pt>
                <c:pt idx="5">
                  <c:v>120</c:v>
                </c:pt>
                <c:pt idx="6">
                  <c:v>130</c:v>
                </c:pt>
                <c:pt idx="7">
                  <c:v>125</c:v>
                </c:pt>
                <c:pt idx="8">
                  <c:v>140</c:v>
                </c:pt>
                <c:pt idx="9">
                  <c:v>150</c:v>
                </c:pt>
                <c:pt idx="10">
                  <c:v>165</c:v>
                </c:pt>
                <c:pt idx="11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5AD-3A4C-A03B-679C46224F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34516584"/>
        <c:axId val="44273359"/>
      </c:lineChart>
      <c:catAx>
        <c:axId val="34516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ja-JP"/>
          </a:p>
        </c:txPr>
        <c:crossAx val="44273359"/>
        <c:crosses val="autoZero"/>
        <c:auto val="1"/>
        <c:lblAlgn val="ctr"/>
        <c:lblOffset val="100"/>
        <c:noMultiLvlLbl val="0"/>
      </c:catAx>
      <c:valAx>
        <c:axId val="44273359"/>
        <c:scaling>
          <c:orientation val="minMax"/>
          <c:min val="5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ja-JP" alt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売上</a:t>
                </a:r>
                <a:r>
                  <a:rPr lang="en-US" altLang="ja-JP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(</a:t>
                </a:r>
                <a:r>
                  <a:rPr lang="ja-JP" alt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万円</a:t>
                </a:r>
                <a:r>
                  <a:rPr lang="en-US" altLang="ja-JP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ja-JP"/>
          </a:p>
        </c:txPr>
        <c:crossAx val="34516584"/>
        <c:crosses val="autoZero"/>
        <c:crossBetween val="between"/>
      </c:valAx>
      <c:spPr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ja-JP"/>
        </a:p>
      </c:txPr>
    </c:legend>
    <c:plotVisOnly val="1"/>
    <c:dispBlanksAs val="gap"/>
    <c:showDLblsOverMax val="1"/>
  </c:chart>
  <c:spPr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経費の構成比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解答3!$C$4</c:f>
              <c:strCache>
                <c:ptCount val="1"/>
                <c:pt idx="0">
                  <c:v>金額(千円)</c:v>
                </c:pt>
              </c:strCache>
            </c:strRef>
          </c:tx>
          <c:spPr>
            <a:ln w="1260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675A-4D4C-8FDF-556880317A9A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3-675A-4D4C-8FDF-556880317A9A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5-675A-4D4C-8FDF-556880317A9A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7-675A-4D4C-8FDF-556880317A9A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9-675A-4D4C-8FDF-556880317A9A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0B-675A-4D4C-8FDF-556880317A9A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ja-JP"/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675A-4D4C-8FDF-556880317A9A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ja-JP"/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675A-4D4C-8FDF-556880317A9A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ja-JP"/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675A-4D4C-8FDF-556880317A9A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ja-JP"/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675A-4D4C-8FDF-556880317A9A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ja-JP"/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9-675A-4D4C-8FDF-556880317A9A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ja-JP"/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B-675A-4D4C-8FDF-556880317A9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ja-JP"/>
              </a:p>
            </c:txPr>
            <c:dLblPos val="bestFit"/>
            <c:showLegendKey val="1"/>
            <c:showVal val="0"/>
            <c:showCatName val="1"/>
            <c:showSerName val="0"/>
            <c:showPercent val="1"/>
            <c:showBubbleSize val="1"/>
            <c:separator>
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解答3!$B$5:$B$10</c:f>
              <c:strCache>
                <c:ptCount val="6"/>
                <c:pt idx="0">
                  <c:v>人件費</c:v>
                </c:pt>
                <c:pt idx="1">
                  <c:v>家賃</c:v>
                </c:pt>
                <c:pt idx="2">
                  <c:v>広告宣伝費</c:v>
                </c:pt>
                <c:pt idx="3">
                  <c:v>水道光熱費</c:v>
                </c:pt>
                <c:pt idx="4">
                  <c:v>通信費</c:v>
                </c:pt>
                <c:pt idx="5">
                  <c:v>その他</c:v>
                </c:pt>
              </c:strCache>
            </c:strRef>
          </c:cat>
          <c:val>
            <c:numRef>
              <c:f>解答3!$C$5:$C$10</c:f>
              <c:numCache>
                <c:formatCode>#,##0</c:formatCode>
                <c:ptCount val="6"/>
                <c:pt idx="0">
                  <c:v>4500</c:v>
                </c:pt>
                <c:pt idx="1">
                  <c:v>1800</c:v>
                </c:pt>
                <c:pt idx="2">
                  <c:v>1200</c:v>
                </c:pt>
                <c:pt idx="3">
                  <c:v>600</c:v>
                </c:pt>
                <c:pt idx="4">
                  <c:v>400</c:v>
                </c:pt>
                <c:pt idx="5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75A-4D4C-8FDF-556880317A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ln w="0">
          <a:noFill/>
        </a:ln>
      </c:spPr>
    </c:plotArea>
    <c:plotVisOnly val="1"/>
    <c:dispBlanksAs val="gap"/>
    <c:showDLblsOverMax val="1"/>
  </c:chart>
  <c:spPr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四半期別 部門売上(百万円)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解答4!$C$4</c:f>
              <c:strCache>
                <c:ptCount val="1"/>
                <c:pt idx="0">
                  <c:v>食品</c:v>
                </c:pt>
              </c:strCache>
            </c:strRef>
          </c:tx>
          <c:spPr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解答4!$B$5:$B$8</c:f>
              <c:strCache>
                <c:ptCount val="4"/>
                <c:pt idx="0">
                  <c:v>第1四半期</c:v>
                </c:pt>
                <c:pt idx="1">
                  <c:v>第2四半期</c:v>
                </c:pt>
                <c:pt idx="2">
                  <c:v>第3四半期</c:v>
                </c:pt>
                <c:pt idx="3">
                  <c:v>第4四半期</c:v>
                </c:pt>
              </c:strCache>
            </c:strRef>
          </c:cat>
          <c:val>
            <c:numRef>
              <c:f>解答4!$C$5:$C$8</c:f>
              <c:numCache>
                <c:formatCode>#,##0</c:formatCode>
                <c:ptCount val="4"/>
                <c:pt idx="0">
                  <c:v>320</c:v>
                </c:pt>
                <c:pt idx="1">
                  <c:v>350</c:v>
                </c:pt>
                <c:pt idx="2">
                  <c:v>300</c:v>
                </c:pt>
                <c:pt idx="3">
                  <c:v>410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DF-9E44-BF4E-19C04930409C}"/>
            </c:ext>
          </c:extLst>
        </c:ser>
        <c:ser>
          <c:idx val="1"/>
          <c:order val="1"/>
          <c:tx>
            <c:strRef>
              <c:f>解答4!$D$4</c:f>
              <c:strCache>
                <c:ptCount val="1"/>
                <c:pt idx="0">
                  <c:v>日用品</c:v>
                </c:pt>
              </c:strCache>
            </c:strRef>
          </c:tx>
          <c:spPr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解答4!$B$5:$B$8</c:f>
              <c:strCache>
                <c:ptCount val="4"/>
                <c:pt idx="0">
                  <c:v>第1四半期</c:v>
                </c:pt>
                <c:pt idx="1">
                  <c:v>第2四半期</c:v>
                </c:pt>
                <c:pt idx="2">
                  <c:v>第3四半期</c:v>
                </c:pt>
                <c:pt idx="3">
                  <c:v>第4四半期</c:v>
                </c:pt>
              </c:strCache>
            </c:strRef>
          </c:cat>
          <c:val>
            <c:numRef>
              <c:f>解答4!$D$5:$D$8</c:f>
              <c:numCache>
                <c:formatCode>#,##0</c:formatCode>
                <c:ptCount val="4"/>
                <c:pt idx="0">
                  <c:v>210</c:v>
                </c:pt>
                <c:pt idx="1">
                  <c:v>240</c:v>
                </c:pt>
                <c:pt idx="2">
                  <c:v>280</c:v>
                </c:pt>
                <c:pt idx="3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DF-9E44-BF4E-19C04930409C}"/>
            </c:ext>
          </c:extLst>
        </c:ser>
        <c:ser>
          <c:idx val="2"/>
          <c:order val="2"/>
          <c:tx>
            <c:strRef>
              <c:f>解答4!$E$4</c:f>
              <c:strCache>
                <c:ptCount val="1"/>
                <c:pt idx="0">
                  <c:v>衣料</c:v>
                </c:pt>
              </c:strCache>
            </c:strRef>
          </c:tx>
          <c:spPr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解答4!$B$5:$B$8</c:f>
              <c:strCache>
                <c:ptCount val="4"/>
                <c:pt idx="0">
                  <c:v>第1四半期</c:v>
                </c:pt>
                <c:pt idx="1">
                  <c:v>第2四半期</c:v>
                </c:pt>
                <c:pt idx="2">
                  <c:v>第3四半期</c:v>
                </c:pt>
                <c:pt idx="3">
                  <c:v>第4四半期</c:v>
                </c:pt>
              </c:strCache>
            </c:strRef>
          </c:cat>
          <c:val>
            <c:numRef>
              <c:f>解答4!$E$5:$E$8</c:f>
              <c:numCache>
                <c:formatCode>#,##0</c:formatCode>
                <c:ptCount val="4"/>
                <c:pt idx="0">
                  <c:v>150</c:v>
                </c:pt>
                <c:pt idx="1">
                  <c:v>170</c:v>
                </c:pt>
                <c:pt idx="2">
                  <c:v>200</c:v>
                </c:pt>
                <c:pt idx="3">
                  <c:v>220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1DF-9E44-BF4E-19C04930409C}"/>
            </c:ext>
          </c:extLst>
        </c:ser>
        <c:ser>
          <c:idx val="3"/>
          <c:order val="3"/>
          <c:tx>
            <c:strRef>
              <c:f>解答4!$F$4</c:f>
              <c:strCache>
                <c:ptCount val="1"/>
                <c:pt idx="0">
                  <c:v>家電</c:v>
                </c:pt>
              </c:strCache>
            </c:strRef>
          </c:tx>
          <c:spPr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解答4!$B$5:$B$8</c:f>
              <c:strCache>
                <c:ptCount val="4"/>
                <c:pt idx="0">
                  <c:v>第1四半期</c:v>
                </c:pt>
                <c:pt idx="1">
                  <c:v>第2四半期</c:v>
                </c:pt>
                <c:pt idx="2">
                  <c:v>第3四半期</c:v>
                </c:pt>
                <c:pt idx="3">
                  <c:v>第4四半期</c:v>
                </c:pt>
              </c:strCache>
            </c:strRef>
          </c:cat>
          <c:val>
            <c:numRef>
              <c:f>解答4!$F$5:$F$8</c:f>
              <c:numCache>
                <c:formatCode>#,##0</c:formatCode>
                <c:ptCount val="4"/>
                <c:pt idx="0">
                  <c:v>90</c:v>
                </c:pt>
                <c:pt idx="1">
                  <c:v>110</c:v>
                </c:pt>
                <c:pt idx="2">
                  <c:v>130</c:v>
                </c:pt>
                <c:pt idx="3">
                  <c:v>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1DF-9E44-BF4E-19C0493040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48809898"/>
        <c:axId val="81297666"/>
      </c:barChart>
      <c:catAx>
        <c:axId val="4880989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ja-JP"/>
          </a:p>
        </c:txPr>
        <c:crossAx val="81297666"/>
        <c:crosses val="autoZero"/>
        <c:auto val="1"/>
        <c:lblAlgn val="ctr"/>
        <c:lblOffset val="100"/>
        <c:noMultiLvlLbl val="0"/>
      </c:catAx>
      <c:valAx>
        <c:axId val="8129766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ja-JP"/>
          </a:p>
        </c:txPr>
        <c:crossAx val="48809898"/>
        <c:crosses val="autoZero"/>
        <c:crossBetween val="between"/>
      </c:valAx>
      <c:spPr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ja-JP"/>
        </a:p>
      </c:txPr>
    </c:legend>
    <c:plotVisOnly val="1"/>
    <c:dispBlanksAs val="gap"/>
    <c:showDLblsOverMax val="1"/>
  </c:chart>
  <c:spPr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(発展)100%積み上げ:部門構成比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解答4!$C$4</c:f>
              <c:strCache>
                <c:ptCount val="1"/>
                <c:pt idx="0">
                  <c:v>食品</c:v>
                </c:pt>
              </c:strCache>
            </c:strRef>
          </c:tx>
          <c:spPr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解答4!$B$5:$B$8</c:f>
              <c:strCache>
                <c:ptCount val="4"/>
                <c:pt idx="0">
                  <c:v>第1四半期</c:v>
                </c:pt>
                <c:pt idx="1">
                  <c:v>第2四半期</c:v>
                </c:pt>
                <c:pt idx="2">
                  <c:v>第3四半期</c:v>
                </c:pt>
                <c:pt idx="3">
                  <c:v>第4四半期</c:v>
                </c:pt>
              </c:strCache>
            </c:strRef>
          </c:cat>
          <c:val>
            <c:numRef>
              <c:f>解答4!$C$5:$C$8</c:f>
              <c:numCache>
                <c:formatCode>#,##0</c:formatCode>
                <c:ptCount val="4"/>
                <c:pt idx="0">
                  <c:v>320</c:v>
                </c:pt>
                <c:pt idx="1">
                  <c:v>350</c:v>
                </c:pt>
                <c:pt idx="2">
                  <c:v>300</c:v>
                </c:pt>
                <c:pt idx="3">
                  <c:v>410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CF-8443-BEF0-FB2EBCBC58DB}"/>
            </c:ext>
          </c:extLst>
        </c:ser>
        <c:ser>
          <c:idx val="1"/>
          <c:order val="1"/>
          <c:tx>
            <c:strRef>
              <c:f>解答4!$D$4</c:f>
              <c:strCache>
                <c:ptCount val="1"/>
                <c:pt idx="0">
                  <c:v>日用品</c:v>
                </c:pt>
              </c:strCache>
            </c:strRef>
          </c:tx>
          <c:spPr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解答4!$B$5:$B$8</c:f>
              <c:strCache>
                <c:ptCount val="4"/>
                <c:pt idx="0">
                  <c:v>第1四半期</c:v>
                </c:pt>
                <c:pt idx="1">
                  <c:v>第2四半期</c:v>
                </c:pt>
                <c:pt idx="2">
                  <c:v>第3四半期</c:v>
                </c:pt>
                <c:pt idx="3">
                  <c:v>第4四半期</c:v>
                </c:pt>
              </c:strCache>
            </c:strRef>
          </c:cat>
          <c:val>
            <c:numRef>
              <c:f>解答4!$D$5:$D$8</c:f>
              <c:numCache>
                <c:formatCode>#,##0</c:formatCode>
                <c:ptCount val="4"/>
                <c:pt idx="0">
                  <c:v>210</c:v>
                </c:pt>
                <c:pt idx="1">
                  <c:v>240</c:v>
                </c:pt>
                <c:pt idx="2">
                  <c:v>280</c:v>
                </c:pt>
                <c:pt idx="3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ECF-8443-BEF0-FB2EBCBC58DB}"/>
            </c:ext>
          </c:extLst>
        </c:ser>
        <c:ser>
          <c:idx val="2"/>
          <c:order val="2"/>
          <c:tx>
            <c:strRef>
              <c:f>解答4!$E$4</c:f>
              <c:strCache>
                <c:ptCount val="1"/>
                <c:pt idx="0">
                  <c:v>衣料</c:v>
                </c:pt>
              </c:strCache>
            </c:strRef>
          </c:tx>
          <c:spPr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解答4!$B$5:$B$8</c:f>
              <c:strCache>
                <c:ptCount val="4"/>
                <c:pt idx="0">
                  <c:v>第1四半期</c:v>
                </c:pt>
                <c:pt idx="1">
                  <c:v>第2四半期</c:v>
                </c:pt>
                <c:pt idx="2">
                  <c:v>第3四半期</c:v>
                </c:pt>
                <c:pt idx="3">
                  <c:v>第4四半期</c:v>
                </c:pt>
              </c:strCache>
            </c:strRef>
          </c:cat>
          <c:val>
            <c:numRef>
              <c:f>解答4!$E$5:$E$8</c:f>
              <c:numCache>
                <c:formatCode>#,##0</c:formatCode>
                <c:ptCount val="4"/>
                <c:pt idx="0">
                  <c:v>150</c:v>
                </c:pt>
                <c:pt idx="1">
                  <c:v>170</c:v>
                </c:pt>
                <c:pt idx="2">
                  <c:v>200</c:v>
                </c:pt>
                <c:pt idx="3">
                  <c:v>220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ECF-8443-BEF0-FB2EBCBC58DB}"/>
            </c:ext>
          </c:extLst>
        </c:ser>
        <c:ser>
          <c:idx val="3"/>
          <c:order val="3"/>
          <c:tx>
            <c:strRef>
              <c:f>解答4!$F$4</c:f>
              <c:strCache>
                <c:ptCount val="1"/>
                <c:pt idx="0">
                  <c:v>家電</c:v>
                </c:pt>
              </c:strCache>
            </c:strRef>
          </c:tx>
          <c:spPr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解答4!$B$5:$B$8</c:f>
              <c:strCache>
                <c:ptCount val="4"/>
                <c:pt idx="0">
                  <c:v>第1四半期</c:v>
                </c:pt>
                <c:pt idx="1">
                  <c:v>第2四半期</c:v>
                </c:pt>
                <c:pt idx="2">
                  <c:v>第3四半期</c:v>
                </c:pt>
                <c:pt idx="3">
                  <c:v>第4四半期</c:v>
                </c:pt>
              </c:strCache>
            </c:strRef>
          </c:cat>
          <c:val>
            <c:numRef>
              <c:f>解答4!$F$5:$F$8</c:f>
              <c:numCache>
                <c:formatCode>#,##0</c:formatCode>
                <c:ptCount val="4"/>
                <c:pt idx="0">
                  <c:v>90</c:v>
                </c:pt>
                <c:pt idx="1">
                  <c:v>110</c:v>
                </c:pt>
                <c:pt idx="2">
                  <c:v>130</c:v>
                </c:pt>
                <c:pt idx="3">
                  <c:v>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ECF-8443-BEF0-FB2EBCBC58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76999740"/>
        <c:axId val="44271944"/>
      </c:barChart>
      <c:catAx>
        <c:axId val="769997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ja-JP"/>
          </a:p>
        </c:txPr>
        <c:crossAx val="44271944"/>
        <c:crosses val="autoZero"/>
        <c:auto val="1"/>
        <c:lblAlgn val="ctr"/>
        <c:lblOffset val="100"/>
        <c:noMultiLvlLbl val="0"/>
      </c:catAx>
      <c:valAx>
        <c:axId val="4427194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ja-JP"/>
          </a:p>
        </c:txPr>
        <c:crossAx val="76999740"/>
        <c:crosses val="autoZero"/>
        <c:crossBetween val="between"/>
      </c:valAx>
      <c:spPr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ja-JP"/>
        </a:p>
      </c:txPr>
    </c:legend>
    <c:plotVisOnly val="1"/>
    <c:dispBlanksAs val="gap"/>
    <c:showDLblsOverMax val="1"/>
  </c:chart>
  <c:spPr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商品別 売上個数ランキング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解答5!$C$4</c:f>
              <c:strCache>
                <c:ptCount val="1"/>
                <c:pt idx="0">
                  <c:v>売上個数</c:v>
                </c:pt>
              </c:strCache>
            </c:strRef>
          </c:tx>
          <c:spPr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ja-JP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解答5!$B$5:$B$12</c:f>
              <c:strCache>
                <c:ptCount val="8"/>
                <c:pt idx="0">
                  <c:v>ハサミ</c:v>
                </c:pt>
                <c:pt idx="1">
                  <c:v>消しゴム</c:v>
                </c:pt>
                <c:pt idx="2">
                  <c:v>のり</c:v>
                </c:pt>
                <c:pt idx="3">
                  <c:v>付箋</c:v>
                </c:pt>
                <c:pt idx="4">
                  <c:v>ボールペン</c:v>
                </c:pt>
                <c:pt idx="5">
                  <c:v>ファイル</c:v>
                </c:pt>
                <c:pt idx="6">
                  <c:v>マーカー</c:v>
                </c:pt>
                <c:pt idx="7">
                  <c:v>ノート</c:v>
                </c:pt>
              </c:strCache>
            </c:strRef>
          </c:cat>
          <c:val>
            <c:numRef>
              <c:f>解答5!$C$5:$C$12</c:f>
              <c:numCache>
                <c:formatCode>#,##0</c:formatCode>
                <c:ptCount val="8"/>
                <c:pt idx="0">
                  <c:v>310</c:v>
                </c:pt>
                <c:pt idx="1">
                  <c:v>390</c:v>
                </c:pt>
                <c:pt idx="2">
                  <c:v>450</c:v>
                </c:pt>
                <c:pt idx="3">
                  <c:v>560</c:v>
                </c:pt>
                <c:pt idx="4">
                  <c:v>820</c:v>
                </c:pt>
                <c:pt idx="5">
                  <c:v>970</c:v>
                </c:pt>
                <c:pt idx="6">
                  <c:v>1120</c:v>
                </c:pt>
                <c:pt idx="7">
                  <c:v>1340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F2-0E43-8E3F-29C0182699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6460578"/>
        <c:axId val="51558167"/>
      </c:barChart>
      <c:catAx>
        <c:axId val="4646057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ja-JP"/>
          </a:p>
        </c:txPr>
        <c:crossAx val="51558167"/>
        <c:crosses val="autoZero"/>
        <c:auto val="1"/>
        <c:lblAlgn val="ctr"/>
        <c:lblOffset val="100"/>
        <c:noMultiLvlLbl val="0"/>
      </c:catAx>
      <c:valAx>
        <c:axId val="51558167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ja-JP"/>
          </a:p>
        </c:txPr>
        <c:crossAx val="46460578"/>
        <c:crosses val="autoZero"/>
        <c:crossBetween val="between"/>
      </c:valAx>
      <c:spPr>
        <a:ln w="0">
          <a:noFill/>
        </a:ln>
      </c:spPr>
    </c:plotArea>
    <c:plotVisOnly val="1"/>
    <c:dispBlanksAs val="gap"/>
    <c:showDLblsOverMax val="1"/>
  </c:chart>
  <c:spPr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売上高と営業利益率の推移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解答6!$C$4</c:f>
              <c:strCache>
                <c:ptCount val="1"/>
                <c:pt idx="0">
                  <c:v>売上高(百万円)</c:v>
                </c:pt>
              </c:strCache>
            </c:strRef>
          </c:tx>
          <c:spPr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解答6!$B$5:$B$10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strCache>
            </c:strRef>
          </c:cat>
          <c:val>
            <c:numRef>
              <c:f>解答6!$C$5:$C$10</c:f>
              <c:numCache>
                <c:formatCode>#,##0</c:formatCode>
                <c:ptCount val="6"/>
                <c:pt idx="0">
                  <c:v>5200</c:v>
                </c:pt>
                <c:pt idx="1">
                  <c:v>5800</c:v>
                </c:pt>
                <c:pt idx="2">
                  <c:v>6100</c:v>
                </c:pt>
                <c:pt idx="3">
                  <c:v>6900</c:v>
                </c:pt>
                <c:pt idx="4">
                  <c:v>7400</c:v>
                </c:pt>
                <c:pt idx="5">
                  <c:v>8200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E1-D84D-AF0E-3350BB717F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0179082"/>
        <c:axId val="26713008"/>
      </c:barChart>
      <c:lineChart>
        <c:grouping val="standard"/>
        <c:varyColors val="0"/>
        <c:ser>
          <c:idx val="1"/>
          <c:order val="1"/>
          <c:tx>
            <c:strRef>
              <c:f>解答6!$E$4</c:f>
              <c:strCache>
                <c:ptCount val="1"/>
                <c:pt idx="0">
                  <c:v>営業利益率</c:v>
                </c:pt>
              </c:strCache>
            </c:strRef>
          </c:tx>
          <c:spPr>
            <a:ln w="12600">
              <a:solidFill>
                <a:srgbClr val="BE4B48"/>
              </a:solidFill>
              <a:round/>
            </a:ln>
          </c:spPr>
          <c:marker>
            <c:symbol val="circle"/>
            <c:size val="5"/>
            <c:spPr>
              <a:solidFill>
                <a:srgbClr val="BE4B48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解答6!$B$5:$B$10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strCache>
            </c:strRef>
          </c:cat>
          <c:val>
            <c:numRef>
              <c:f>解答6!$E$5:$E$10</c:f>
              <c:numCache>
                <c:formatCode>0.0%</c:formatCode>
                <c:ptCount val="6"/>
                <c:pt idx="0">
                  <c:v>0.06</c:v>
                </c:pt>
                <c:pt idx="1">
                  <c:v>7.0000000000000007E-2</c:v>
                </c:pt>
                <c:pt idx="2">
                  <c:v>0.06</c:v>
                </c:pt>
                <c:pt idx="3">
                  <c:v>0.08</c:v>
                </c:pt>
                <c:pt idx="4">
                  <c:v>0.09</c:v>
                </c:pt>
                <c:pt idx="5">
                  <c:v>0.1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4E1-D84D-AF0E-3350BB717F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86179968"/>
        <c:axId val="19358710"/>
      </c:lineChart>
      <c:catAx>
        <c:axId val="7017908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ja-JP"/>
          </a:p>
        </c:txPr>
        <c:crossAx val="26713008"/>
        <c:crosses val="autoZero"/>
        <c:auto val="1"/>
        <c:lblAlgn val="ctr"/>
        <c:lblOffset val="100"/>
        <c:noMultiLvlLbl val="0"/>
      </c:catAx>
      <c:valAx>
        <c:axId val="26713008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売上高(百万円)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ja-JP"/>
          </a:p>
        </c:txPr>
        <c:crossAx val="70179082"/>
        <c:crosses val="autoZero"/>
        <c:crossBetween val="between"/>
      </c:valAx>
      <c:catAx>
        <c:axId val="86179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ja-JP"/>
          </a:p>
        </c:txPr>
        <c:crossAx val="19358710"/>
        <c:crosses val="autoZero"/>
        <c:auto val="1"/>
        <c:lblAlgn val="ctr"/>
        <c:lblOffset val="100"/>
        <c:noMultiLvlLbl val="0"/>
      </c:catAx>
      <c:valAx>
        <c:axId val="19358710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営業利益率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ja-JP"/>
          </a:p>
        </c:txPr>
        <c:crossAx val="86179968"/>
        <c:crosses val="max"/>
        <c:crossBetween val="between"/>
      </c:valAx>
      <c:spPr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ja-JP"/>
        </a:p>
      </c:txPr>
    </c:legend>
    <c:plotVisOnly val="1"/>
    <c:dispBlanksAs val="gap"/>
    <c:showDLblsOverMax val="1"/>
  </c:chart>
  <c:spPr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13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広告費と売上の関係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解答7!$D$4</c:f>
              <c:strCache>
                <c:ptCount val="1"/>
                <c:pt idx="0">
                  <c:v>売上(万円)</c:v>
                </c:pt>
              </c:strCache>
            </c:strRef>
          </c:tx>
          <c:spPr>
            <a:ln w="12600">
              <a:noFill/>
            </a:ln>
          </c:spPr>
          <c:marker>
            <c:symbol val="circle"/>
            <c:size val="7"/>
            <c:spPr>
              <a:noFill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/>
                </a:solidFill>
                <a:round/>
              </a:ln>
            </c:spPr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解答7!$C$5:$C$16</c:f>
              <c:numCache>
                <c:formatCode>#,##0</c:formatCode>
                <c:ptCount val="12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  <c:pt idx="8">
                  <c:v>50</c:v>
                </c:pt>
                <c:pt idx="9">
                  <c:v>55</c:v>
                </c:pt>
                <c:pt idx="10">
                  <c:v>60</c:v>
                </c:pt>
                <c:pt idx="11">
                  <c:v>65</c:v>
                </c:pt>
              </c:numCache>
            </c:numRef>
          </c:xVal>
          <c:yVal>
            <c:numRef>
              <c:f>解答7!$D$5:$D$16</c:f>
              <c:numCache>
                <c:formatCode>#,##0</c:formatCode>
                <c:ptCount val="12"/>
                <c:pt idx="0">
                  <c:v>180</c:v>
                </c:pt>
                <c:pt idx="1">
                  <c:v>210</c:v>
                </c:pt>
                <c:pt idx="2">
                  <c:v>260</c:v>
                </c:pt>
                <c:pt idx="3">
                  <c:v>270</c:v>
                </c:pt>
                <c:pt idx="4">
                  <c:v>320</c:v>
                </c:pt>
                <c:pt idx="5">
                  <c:v>330</c:v>
                </c:pt>
                <c:pt idx="6">
                  <c:v>390</c:v>
                </c:pt>
                <c:pt idx="7">
                  <c:v>400</c:v>
                </c:pt>
                <c:pt idx="8">
                  <c:v>450</c:v>
                </c:pt>
                <c:pt idx="9">
                  <c:v>470</c:v>
                </c:pt>
                <c:pt idx="10">
                  <c:v>500</c:v>
                </c:pt>
                <c:pt idx="11">
                  <c:v>540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514-5A47-8F4C-885D2D33F4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58318"/>
        <c:axId val="16032190"/>
      </c:scatterChart>
      <c:valAx>
        <c:axId val="21158318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広告費(万円)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ja-JP"/>
          </a:p>
        </c:txPr>
        <c:crossAx val="16032190"/>
        <c:crosses val="autoZero"/>
        <c:crossBetween val="midCat"/>
      </c:valAx>
      <c:valAx>
        <c:axId val="1603219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売上(万円)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ja-JP"/>
          </a:p>
        </c:txPr>
        <c:crossAx val="21158318"/>
        <c:crosses val="autoZero"/>
        <c:crossBetween val="midCat"/>
      </c:valAx>
      <c:spPr>
        <a:ln w="0">
          <a:noFill/>
        </a:ln>
      </c:spPr>
    </c:plotArea>
    <c:plotVisOnly val="1"/>
    <c:dispBlanksAs val="gap"/>
    <c:showDLblsOverMax val="1"/>
  </c:chart>
  <c:spPr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487058</xdr:colOff>
      <xdr:row>0</xdr:row>
      <xdr:rowOff>168883</xdr:rowOff>
    </xdr:from>
    <xdr:to>
      <xdr:col>9</xdr:col>
      <xdr:colOff>722143</xdr:colOff>
      <xdr:row>13</xdr:row>
      <xdr:rowOff>176179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29DE67D7-4241-B5A8-11C4-AEE5395FA6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116569</xdr:colOff>
      <xdr:row>4</xdr:row>
      <xdr:rowOff>110067</xdr:rowOff>
    </xdr:from>
    <xdr:to>
      <xdr:col>9</xdr:col>
      <xdr:colOff>325781</xdr:colOff>
      <xdr:row>15</xdr:row>
      <xdr:rowOff>12271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D31EFD19-8EC5-A313-EC2E-158E26B306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</xdr:row>
      <xdr:rowOff>0</xdr:rowOff>
    </xdr:from>
    <xdr:to>
      <xdr:col>13</xdr:col>
      <xdr:colOff>255960</xdr:colOff>
      <xdr:row>19</xdr:row>
      <xdr:rowOff>11880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3</xdr:row>
      <xdr:rowOff>0</xdr:rowOff>
    </xdr:from>
    <xdr:to>
      <xdr:col>15</xdr:col>
      <xdr:colOff>364320</xdr:colOff>
      <xdr:row>19</xdr:row>
      <xdr:rowOff>11880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3</xdr:row>
      <xdr:rowOff>0</xdr:rowOff>
    </xdr:from>
    <xdr:to>
      <xdr:col>13</xdr:col>
      <xdr:colOff>147600</xdr:colOff>
      <xdr:row>20</xdr:row>
      <xdr:rowOff>1080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</xdr:row>
      <xdr:rowOff>0</xdr:rowOff>
    </xdr:from>
    <xdr:to>
      <xdr:col>8</xdr:col>
      <xdr:colOff>307800</xdr:colOff>
      <xdr:row>26</xdr:row>
      <xdr:rowOff>11520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10</xdr:row>
      <xdr:rowOff>0</xdr:rowOff>
    </xdr:from>
    <xdr:to>
      <xdr:col>19</xdr:col>
      <xdr:colOff>256320</xdr:colOff>
      <xdr:row>26</xdr:row>
      <xdr:rowOff>11520</xdr:rowOff>
    </xdr:to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</xdr:row>
      <xdr:rowOff>0</xdr:rowOff>
    </xdr:from>
    <xdr:to>
      <xdr:col>13</xdr:col>
      <xdr:colOff>255960</xdr:colOff>
      <xdr:row>20</xdr:row>
      <xdr:rowOff>1080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3</xdr:row>
      <xdr:rowOff>0</xdr:rowOff>
    </xdr:from>
    <xdr:to>
      <xdr:col>16</xdr:col>
      <xdr:colOff>364320</xdr:colOff>
      <xdr:row>20</xdr:row>
      <xdr:rowOff>1080</xdr:rowOff>
    </xdr:to>
    <xdr:graphicFrame macro="">
      <xdr:nvGraphicFramePr>
        <xdr:cNvPr id="7" name="Chart 1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3</xdr:row>
      <xdr:rowOff>0</xdr:rowOff>
    </xdr:from>
    <xdr:to>
      <xdr:col>14</xdr:col>
      <xdr:colOff>255960</xdr:colOff>
      <xdr:row>20</xdr:row>
      <xdr:rowOff>1080</xdr:rowOff>
    </xdr:to>
    <xdr:graphicFrame macro="">
      <xdr:nvGraphicFramePr>
        <xdr:cNvPr id="8" name="Chart 1">
          <a:extLst>
            <a:ext uri="{FF2B5EF4-FFF2-40B4-BE49-F238E27FC236}">
              <a16:creationId xmlns:a16="http://schemas.microsoft.com/office/drawing/2014/main" id="{00000000-0008-0000-0E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Excel_&#12463;&#12441;&#12521;&#12501;&#20316;&#25104;_&#28436;&#32722;&#21839;&#38988;.xlsx" TargetMode="External"/><Relationship Id="rId7" Type="http://schemas.openxmlformats.org/officeDocument/2006/relationships/hyperlink" Target="Excel_&#12463;&#12441;&#12521;&#12501;&#20316;&#25104;_&#28436;&#32722;&#21839;&#38988;.xlsx" TargetMode="External"/><Relationship Id="rId2" Type="http://schemas.openxmlformats.org/officeDocument/2006/relationships/hyperlink" Target="Excel_&#12463;&#12441;&#12521;&#12501;&#20316;&#25104;_&#28436;&#32722;&#21839;&#38988;.xlsx" TargetMode="External"/><Relationship Id="rId1" Type="http://schemas.openxmlformats.org/officeDocument/2006/relationships/hyperlink" Target="Excel_&#12463;&#12441;&#12521;&#12501;&#20316;&#25104;_&#28436;&#32722;&#21839;&#38988;.xlsx" TargetMode="External"/><Relationship Id="rId6" Type="http://schemas.openxmlformats.org/officeDocument/2006/relationships/hyperlink" Target="Excel_&#12463;&#12441;&#12521;&#12501;&#20316;&#25104;_&#28436;&#32722;&#21839;&#38988;.xlsx" TargetMode="External"/><Relationship Id="rId5" Type="http://schemas.openxmlformats.org/officeDocument/2006/relationships/hyperlink" Target="Excel_&#12463;&#12441;&#12521;&#12501;&#20316;&#25104;_&#28436;&#32722;&#21839;&#38988;.xlsx" TargetMode="External"/><Relationship Id="rId4" Type="http://schemas.openxmlformats.org/officeDocument/2006/relationships/hyperlink" Target="Excel_&#12463;&#12441;&#12521;&#12501;&#20316;&#25104;_&#28436;&#32722;&#21839;&#38988;.xlsx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1:L60"/>
  <sheetViews>
    <sheetView zoomScale="173" zoomScaleNormal="100" workbookViewId="0"/>
  </sheetViews>
  <sheetFormatPr baseColWidth="10" defaultColWidth="9.5" defaultRowHeight="14"/>
  <cols>
    <col min="1" max="1" width="2.1640625" customWidth="1"/>
    <col min="2" max="2" width="10.83203125" customWidth="1"/>
    <col min="3" max="3" width="28.33203125" customWidth="1"/>
    <col min="4" max="4" width="47.83203125" customWidth="1"/>
    <col min="5" max="5" width="8.6640625" customWidth="1"/>
    <col min="6" max="6" width="10.83203125" customWidth="1"/>
  </cols>
  <sheetData>
    <row r="1" spans="1:12" ht="23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1"/>
      <c r="B2" s="3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17">
      <c r="A4" s="1"/>
      <c r="B4" s="4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1"/>
      <c r="H4" s="1"/>
      <c r="I4" s="1"/>
      <c r="J4" s="1"/>
      <c r="K4" s="1"/>
      <c r="L4" s="1"/>
    </row>
    <row r="5" spans="1:12">
      <c r="A5" s="1"/>
      <c r="B5" s="6" t="s">
        <v>7</v>
      </c>
      <c r="C5" s="7" t="s">
        <v>8</v>
      </c>
      <c r="D5" s="7" t="s">
        <v>9</v>
      </c>
      <c r="E5" s="7" t="s">
        <v>10</v>
      </c>
      <c r="F5" s="8" t="str">
        <f>IF(COUNTIF(問題1!C:C,"○")&gt;0,COUNTIF(問題1!C:C,"○")&amp;"項目","")</f>
        <v/>
      </c>
      <c r="G5" s="1"/>
      <c r="H5" s="1"/>
      <c r="I5" s="1"/>
      <c r="J5" s="1"/>
      <c r="K5" s="1"/>
      <c r="L5" s="1"/>
    </row>
    <row r="6" spans="1:12" ht="17">
      <c r="A6" s="1"/>
      <c r="B6" s="6" t="s">
        <v>11</v>
      </c>
      <c r="C6" s="7" t="s">
        <v>12</v>
      </c>
      <c r="D6" s="7" t="s">
        <v>13</v>
      </c>
      <c r="E6" s="7" t="s">
        <v>10</v>
      </c>
      <c r="F6" s="8" t="str">
        <f>IF(COUNTIF(問題2!C:C,"○")&gt;0,COUNTIF(問題2!C:C,"○")&amp;"項目","")</f>
        <v/>
      </c>
      <c r="G6" s="1"/>
      <c r="H6" s="1"/>
      <c r="I6" s="1"/>
      <c r="J6" s="1"/>
      <c r="K6" s="1"/>
      <c r="L6" s="1"/>
    </row>
    <row r="7" spans="1:12">
      <c r="A7" s="1"/>
      <c r="B7" s="6" t="s">
        <v>14</v>
      </c>
      <c r="C7" s="7" t="s">
        <v>15</v>
      </c>
      <c r="D7" s="7" t="s">
        <v>16</v>
      </c>
      <c r="E7" s="7" t="s">
        <v>10</v>
      </c>
      <c r="F7" s="8" t="str">
        <f>IF(COUNTIF(問題3!C:C,"○")&gt;0,COUNTIF(問題3!C:C,"○")&amp;"項目","")</f>
        <v/>
      </c>
      <c r="G7" s="1"/>
      <c r="H7" s="1"/>
      <c r="I7" s="1"/>
      <c r="J7" s="1"/>
      <c r="K7" s="1"/>
      <c r="L7" s="1"/>
    </row>
    <row r="8" spans="1:12">
      <c r="A8" s="1"/>
      <c r="B8" s="6" t="s">
        <v>17</v>
      </c>
      <c r="C8" s="7" t="s">
        <v>18</v>
      </c>
      <c r="D8" s="7" t="s">
        <v>19</v>
      </c>
      <c r="E8" s="7" t="s">
        <v>20</v>
      </c>
      <c r="F8" s="8" t="str">
        <f>IF(COUNTIF(問題4!C:C,"○")&gt;0,COUNTIF(問題4!C:C,"○")&amp;"項目","")</f>
        <v/>
      </c>
      <c r="G8" s="1"/>
      <c r="H8" s="1"/>
      <c r="I8" s="1"/>
      <c r="J8" s="1"/>
      <c r="K8" s="1"/>
      <c r="L8" s="1"/>
    </row>
    <row r="9" spans="1:12" ht="17">
      <c r="A9" s="1"/>
      <c r="B9" s="6" t="s">
        <v>21</v>
      </c>
      <c r="C9" s="7" t="s">
        <v>22</v>
      </c>
      <c r="D9" s="7" t="s">
        <v>23</v>
      </c>
      <c r="E9" s="7" t="s">
        <v>20</v>
      </c>
      <c r="F9" s="8" t="str">
        <f>IF(COUNTIF(問題5!C:C,"○")&gt;0,COUNTIF(問題5!C:C,"○")&amp;"項目","")</f>
        <v/>
      </c>
      <c r="G9" s="1"/>
      <c r="H9" s="1"/>
      <c r="I9" s="1"/>
      <c r="J9" s="1"/>
      <c r="K9" s="1"/>
      <c r="L9" s="1"/>
    </row>
    <row r="10" spans="1:12" ht="17">
      <c r="A10" s="1"/>
      <c r="B10" s="6" t="s">
        <v>24</v>
      </c>
      <c r="C10" s="7" t="s">
        <v>25</v>
      </c>
      <c r="D10" s="7" t="s">
        <v>26</v>
      </c>
      <c r="E10" s="7" t="s">
        <v>27</v>
      </c>
      <c r="F10" s="8" t="str">
        <f>IF(COUNTIF(問題6!C:C,"○")&gt;0,COUNTIF(問題6!C:C,"○")&amp;"項目","")</f>
        <v/>
      </c>
      <c r="G10" s="1"/>
      <c r="H10" s="1"/>
      <c r="I10" s="1"/>
      <c r="J10" s="1"/>
      <c r="K10" s="1"/>
      <c r="L10" s="1"/>
    </row>
    <row r="11" spans="1:12" ht="17">
      <c r="A11" s="1"/>
      <c r="B11" s="6" t="s">
        <v>28</v>
      </c>
      <c r="C11" s="7" t="s">
        <v>29</v>
      </c>
      <c r="D11" s="7" t="s">
        <v>30</v>
      </c>
      <c r="E11" s="7" t="s">
        <v>27</v>
      </c>
      <c r="F11" s="8" t="str">
        <f>IF(COUNTIF(問題7!C:C,"○")&gt;0,COUNTIF(問題7!C:C,"○")&amp;"項目","")</f>
        <v/>
      </c>
      <c r="G11" s="1"/>
      <c r="H11" s="1"/>
      <c r="I11" s="1"/>
      <c r="J11" s="1"/>
      <c r="K11" s="1"/>
      <c r="L11" s="1"/>
    </row>
    <row r="12" spans="1: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ht="15">
      <c r="A13" s="1"/>
      <c r="B13" s="9" t="s">
        <v>31</v>
      </c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ht="17">
      <c r="A14" s="1"/>
      <c r="B14" s="10" t="s">
        <v>32</v>
      </c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ht="17">
      <c r="A15" s="1"/>
      <c r="B15" s="10" t="s">
        <v>33</v>
      </c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ht="17">
      <c r="A16" s="1"/>
      <c r="B16" s="10" t="s">
        <v>34</v>
      </c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ht="17">
      <c r="A17" s="1"/>
      <c r="B17" s="10" t="s">
        <v>35</v>
      </c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>
      <c r="A18" s="1"/>
      <c r="B18" s="1" t="s">
        <v>36</v>
      </c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ht="17">
      <c r="A19" s="1"/>
      <c r="B19" s="1" t="s">
        <v>37</v>
      </c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ht="17">
      <c r="A20" s="1"/>
      <c r="B20" s="1" t="s">
        <v>38</v>
      </c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ht="17">
      <c r="A21" s="1"/>
      <c r="B21" s="1" t="s">
        <v>39</v>
      </c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</sheetData>
  <phoneticPr fontId="21"/>
  <hyperlinks>
    <hyperlink ref="B5" r:id="rId1" location="'問題1'!A1" xr:uid="{00000000-0004-0000-0000-000000000000}"/>
    <hyperlink ref="B6" r:id="rId2" location="'問題2'!A1" xr:uid="{00000000-0004-0000-0000-000001000000}"/>
    <hyperlink ref="B7" r:id="rId3" location="'問題3'!A1" xr:uid="{00000000-0004-0000-0000-000002000000}"/>
    <hyperlink ref="B8" r:id="rId4" location="'問題4'!A1" xr:uid="{00000000-0004-0000-0000-000003000000}"/>
    <hyperlink ref="B9" r:id="rId5" location="'問題5'!A1" xr:uid="{00000000-0004-0000-0000-000004000000}"/>
    <hyperlink ref="B10" r:id="rId6" location="'問題6'!A1" xr:uid="{00000000-0004-0000-0000-000005000000}"/>
    <hyperlink ref="B11" r:id="rId7" location="'問題7'!A1" xr:uid="{00000000-0004-0000-0000-000006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472C4"/>
  </sheetPr>
  <dimension ref="A1:L60"/>
  <sheetViews>
    <sheetView zoomScale="188" zoomScaleNormal="100" workbookViewId="0">
      <selection activeCell="G16" sqref="G16"/>
    </sheetView>
  </sheetViews>
  <sheetFormatPr baseColWidth="10" defaultColWidth="9.5" defaultRowHeight="14"/>
  <cols>
    <col min="1" max="1" width="2.1640625" customWidth="1"/>
    <col min="2" max="3" width="15.1640625" customWidth="1"/>
  </cols>
  <sheetData>
    <row r="1" spans="1:12" ht="23">
      <c r="A1" s="1"/>
      <c r="B1" s="11" t="s">
        <v>40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1"/>
      <c r="B2" s="3" t="s">
        <v>41</v>
      </c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17">
      <c r="A4" s="1"/>
      <c r="B4" s="12" t="s">
        <v>42</v>
      </c>
      <c r="C4" s="12" t="s">
        <v>43</v>
      </c>
      <c r="D4" s="1"/>
      <c r="E4" s="1"/>
      <c r="F4" s="1"/>
      <c r="G4" s="1"/>
      <c r="H4" s="1"/>
      <c r="I4" s="1"/>
      <c r="J4" s="1"/>
      <c r="K4" s="1"/>
      <c r="L4" s="1"/>
    </row>
    <row r="5" spans="1:12" ht="17">
      <c r="A5" s="1"/>
      <c r="B5" s="7" t="s">
        <v>44</v>
      </c>
      <c r="C5" s="13">
        <v>4200</v>
      </c>
      <c r="D5" s="1"/>
      <c r="E5" s="1"/>
      <c r="F5" s="1"/>
      <c r="G5" s="1"/>
      <c r="H5" s="1"/>
      <c r="I5" s="1"/>
      <c r="J5" s="1"/>
      <c r="K5" s="1"/>
      <c r="L5" s="1"/>
    </row>
    <row r="6" spans="1:12" ht="17">
      <c r="A6" s="1"/>
      <c r="B6" s="7" t="s">
        <v>45</v>
      </c>
      <c r="C6" s="13">
        <v>3100</v>
      </c>
      <c r="D6" s="1"/>
      <c r="E6" s="1"/>
      <c r="F6" s="1"/>
      <c r="G6" s="1"/>
      <c r="H6" s="1"/>
      <c r="I6" s="1"/>
      <c r="J6" s="1"/>
      <c r="K6" s="1"/>
      <c r="L6" s="1"/>
    </row>
    <row r="7" spans="1:12" ht="17">
      <c r="A7" s="1"/>
      <c r="B7" s="7" t="s">
        <v>46</v>
      </c>
      <c r="C7" s="13">
        <v>8600</v>
      </c>
      <c r="D7" s="1"/>
      <c r="E7" s="1"/>
      <c r="F7" s="1"/>
      <c r="G7" s="1"/>
      <c r="H7" s="1"/>
      <c r="I7" s="1"/>
      <c r="J7" s="1"/>
      <c r="K7" s="1"/>
      <c r="L7" s="1"/>
    </row>
    <row r="8" spans="1:12" ht="17">
      <c r="A8" s="1"/>
      <c r="B8" s="7" t="s">
        <v>47</v>
      </c>
      <c r="C8" s="13">
        <v>5400</v>
      </c>
      <c r="D8" s="1"/>
      <c r="E8" s="1"/>
      <c r="F8" s="1"/>
      <c r="G8" s="1"/>
      <c r="H8" s="1"/>
      <c r="I8" s="1"/>
      <c r="J8" s="1"/>
      <c r="K8" s="1"/>
      <c r="L8" s="1"/>
    </row>
    <row r="9" spans="1:12" ht="17">
      <c r="A9" s="1"/>
      <c r="B9" s="7" t="s">
        <v>48</v>
      </c>
      <c r="C9" s="13">
        <v>7300</v>
      </c>
      <c r="D9" s="1"/>
      <c r="E9" s="1"/>
      <c r="F9" s="1"/>
      <c r="G9" s="1"/>
      <c r="H9" s="1"/>
      <c r="I9" s="1"/>
      <c r="J9" s="1"/>
      <c r="K9" s="1"/>
      <c r="L9" s="1"/>
    </row>
    <row r="10" spans="1:12" ht="17">
      <c r="A10" s="1"/>
      <c r="B10" s="7" t="s">
        <v>49</v>
      </c>
      <c r="C10" s="13">
        <v>3900</v>
      </c>
      <c r="D10" s="1"/>
      <c r="E10" s="1"/>
      <c r="F10" s="1"/>
      <c r="G10" s="1"/>
      <c r="H10" s="1"/>
      <c r="I10" s="1"/>
      <c r="J10" s="1"/>
      <c r="K10" s="1"/>
      <c r="L10" s="1"/>
    </row>
    <row r="11" spans="1:12" ht="17">
      <c r="A11" s="1"/>
      <c r="B11" s="14" t="s">
        <v>50</v>
      </c>
      <c r="C11" s="15">
        <f>SUM(C5:C10)</f>
        <v>32500</v>
      </c>
      <c r="D11" s="1"/>
      <c r="E11" s="1"/>
      <c r="F11" s="1"/>
      <c r="G11" s="1"/>
      <c r="H11" s="1"/>
      <c r="I11" s="1"/>
      <c r="J11" s="1"/>
      <c r="K11" s="1"/>
      <c r="L11" s="1"/>
    </row>
    <row r="12" spans="1: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ht="15">
      <c r="A13" s="1"/>
      <c r="B13" s="9" t="s">
        <v>51</v>
      </c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ht="17">
      <c r="A14" s="1"/>
      <c r="B14" s="10" t="s">
        <v>52</v>
      </c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ht="17">
      <c r="A15" s="1"/>
      <c r="B15" s="1" t="s">
        <v>53</v>
      </c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ht="17">
      <c r="A16" s="1"/>
      <c r="B16" s="1" t="s">
        <v>54</v>
      </c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ht="17">
      <c r="A17" s="1"/>
      <c r="B17" s="1" t="s">
        <v>55</v>
      </c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ht="19">
      <c r="A19" s="1"/>
      <c r="B19" s="16" t="s">
        <v>56</v>
      </c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ht="17">
      <c r="A20" s="1"/>
      <c r="B20" s="17" t="s">
        <v>57</v>
      </c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ht="17">
      <c r="A21" s="1"/>
      <c r="B21" s="18" t="s">
        <v>58</v>
      </c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ht="17">
      <c r="A22" s="1"/>
      <c r="B22" s="18" t="s">
        <v>59</v>
      </c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ht="17">
      <c r="A23" s="1"/>
      <c r="B23" s="18" t="s">
        <v>60</v>
      </c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ht="17">
      <c r="A24" s="1"/>
      <c r="B24" s="18" t="s">
        <v>61</v>
      </c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>
      <c r="A25" s="1"/>
      <c r="B25" s="18" t="s">
        <v>62</v>
      </c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ht="17">
      <c r="A26" s="1"/>
      <c r="B26" s="18" t="s">
        <v>63</v>
      </c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ht="19">
      <c r="A28" s="1"/>
      <c r="B28" s="19" t="s">
        <v>64</v>
      </c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>
      <c r="A29" s="1"/>
      <c r="B29" s="1" t="s">
        <v>65</v>
      </c>
      <c r="C29" s="20"/>
      <c r="D29" s="1"/>
      <c r="E29" s="1"/>
      <c r="F29" s="1"/>
      <c r="G29" s="1"/>
      <c r="H29" s="1"/>
      <c r="I29" s="1"/>
      <c r="J29" s="1"/>
      <c r="K29" s="1"/>
      <c r="L29" s="1"/>
    </row>
    <row r="30" spans="1:12">
      <c r="A30" s="1"/>
      <c r="B30" s="1" t="s">
        <v>66</v>
      </c>
      <c r="C30" s="20"/>
      <c r="D30" s="1"/>
      <c r="E30" s="1"/>
      <c r="F30" s="1"/>
      <c r="G30" s="1"/>
      <c r="H30" s="1"/>
      <c r="I30" s="1"/>
      <c r="J30" s="1"/>
      <c r="K30" s="1"/>
      <c r="L30" s="1"/>
    </row>
    <row r="31" spans="1:12">
      <c r="A31" s="1"/>
      <c r="B31" s="1" t="s">
        <v>67</v>
      </c>
      <c r="C31" s="20"/>
      <c r="D31" s="1"/>
      <c r="E31" s="1"/>
      <c r="F31" s="1"/>
      <c r="G31" s="1"/>
      <c r="H31" s="1"/>
      <c r="I31" s="1"/>
      <c r="J31" s="1"/>
      <c r="K31" s="1"/>
      <c r="L31" s="1"/>
    </row>
    <row r="32" spans="1:1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</sheetData>
  <phoneticPr fontId="21"/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472C4"/>
  </sheetPr>
  <dimension ref="A1:L60"/>
  <sheetViews>
    <sheetView topLeftCell="B15" zoomScale="207" zoomScaleNormal="100" workbookViewId="0">
      <selection activeCell="E18" sqref="E18"/>
    </sheetView>
  </sheetViews>
  <sheetFormatPr baseColWidth="10" defaultColWidth="9.5" defaultRowHeight="14"/>
  <cols>
    <col min="1" max="1" width="2.1640625" customWidth="1"/>
    <col min="2" max="4" width="15.1640625" customWidth="1"/>
  </cols>
  <sheetData>
    <row r="1" spans="1:12" ht="23">
      <c r="A1" s="1"/>
      <c r="B1" s="11" t="s">
        <v>68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1"/>
      <c r="B2" s="3" t="s">
        <v>41</v>
      </c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17">
      <c r="A4" s="1"/>
      <c r="B4" s="12" t="s">
        <v>69</v>
      </c>
      <c r="C4" s="12" t="s">
        <v>70</v>
      </c>
      <c r="D4" s="12" t="s">
        <v>71</v>
      </c>
      <c r="E4" s="1"/>
      <c r="F4" s="1"/>
      <c r="G4" s="1"/>
      <c r="H4" s="1"/>
      <c r="I4" s="1"/>
      <c r="J4" s="1"/>
      <c r="K4" s="1"/>
      <c r="L4" s="1"/>
    </row>
    <row r="5" spans="1:12" ht="17">
      <c r="A5" s="1"/>
      <c r="B5" s="21" t="s">
        <v>72</v>
      </c>
      <c r="C5" s="13">
        <v>120</v>
      </c>
      <c r="D5" s="13">
        <v>80</v>
      </c>
      <c r="E5" s="1"/>
      <c r="F5" s="1"/>
      <c r="G5" s="1"/>
      <c r="H5" s="1"/>
      <c r="I5" s="1"/>
      <c r="J5" s="1"/>
      <c r="K5" s="1"/>
      <c r="L5" s="1"/>
    </row>
    <row r="6" spans="1:12" ht="17">
      <c r="A6" s="1"/>
      <c r="B6" s="21" t="s">
        <v>73</v>
      </c>
      <c r="C6" s="13">
        <v>115</v>
      </c>
      <c r="D6" s="13">
        <v>95</v>
      </c>
      <c r="E6" s="1"/>
      <c r="F6" s="1"/>
      <c r="G6" s="1"/>
      <c r="H6" s="1"/>
      <c r="I6" s="1"/>
      <c r="J6" s="1"/>
      <c r="K6" s="1"/>
      <c r="L6" s="1"/>
    </row>
    <row r="7" spans="1:12" ht="17">
      <c r="A7" s="1"/>
      <c r="B7" s="21" t="s">
        <v>74</v>
      </c>
      <c r="C7" s="13">
        <v>140</v>
      </c>
      <c r="D7" s="13">
        <v>100</v>
      </c>
      <c r="E7" s="1"/>
      <c r="F7" s="1"/>
      <c r="G7" s="1"/>
      <c r="H7" s="1"/>
      <c r="I7" s="1"/>
      <c r="J7" s="1"/>
      <c r="K7" s="1"/>
      <c r="L7" s="1"/>
    </row>
    <row r="8" spans="1:12" ht="17">
      <c r="A8" s="1"/>
      <c r="B8" s="21" t="s">
        <v>75</v>
      </c>
      <c r="C8" s="13">
        <v>155</v>
      </c>
      <c r="D8" s="13">
        <v>110</v>
      </c>
      <c r="E8" s="1"/>
      <c r="F8" s="1"/>
      <c r="G8" s="1"/>
      <c r="H8" s="1"/>
      <c r="I8" s="1"/>
      <c r="J8" s="1"/>
      <c r="K8" s="1"/>
      <c r="L8" s="1"/>
    </row>
    <row r="9" spans="1:12" ht="17">
      <c r="A9" s="1"/>
      <c r="B9" s="21" t="s">
        <v>76</v>
      </c>
      <c r="C9" s="13">
        <v>170</v>
      </c>
      <c r="D9" s="13">
        <v>105</v>
      </c>
      <c r="E9" s="1"/>
      <c r="F9" s="1"/>
      <c r="G9" s="1"/>
      <c r="H9" s="1"/>
      <c r="I9" s="1"/>
      <c r="J9" s="1"/>
      <c r="K9" s="1"/>
      <c r="L9" s="1"/>
    </row>
    <row r="10" spans="1:12" ht="17">
      <c r="A10" s="1"/>
      <c r="B10" s="21" t="s">
        <v>77</v>
      </c>
      <c r="C10" s="13">
        <v>190</v>
      </c>
      <c r="D10" s="13">
        <v>120</v>
      </c>
      <c r="E10" s="1"/>
      <c r="F10" s="1"/>
      <c r="G10" s="1"/>
      <c r="H10" s="1"/>
      <c r="I10" s="1"/>
      <c r="J10" s="1"/>
      <c r="K10" s="1"/>
      <c r="L10" s="1"/>
    </row>
    <row r="11" spans="1:12" ht="17">
      <c r="A11" s="1"/>
      <c r="B11" s="21" t="s">
        <v>78</v>
      </c>
      <c r="C11" s="13">
        <v>230</v>
      </c>
      <c r="D11" s="13">
        <v>130</v>
      </c>
      <c r="E11" s="1"/>
      <c r="F11" s="1"/>
      <c r="G11" s="1"/>
      <c r="H11" s="1"/>
      <c r="I11" s="1"/>
      <c r="J11" s="1"/>
      <c r="K11" s="1"/>
      <c r="L11" s="1"/>
    </row>
    <row r="12" spans="1:12" ht="17">
      <c r="A12" s="1"/>
      <c r="B12" s="21" t="s">
        <v>79</v>
      </c>
      <c r="C12" s="13">
        <v>250</v>
      </c>
      <c r="D12" s="13">
        <v>125</v>
      </c>
      <c r="E12" s="1"/>
      <c r="F12" s="1"/>
      <c r="G12" s="1"/>
      <c r="H12" s="1"/>
      <c r="I12" s="1"/>
      <c r="J12" s="1"/>
      <c r="K12" s="1"/>
      <c r="L12" s="1"/>
    </row>
    <row r="13" spans="1:12" ht="17">
      <c r="A13" s="1"/>
      <c r="B13" s="21" t="s">
        <v>80</v>
      </c>
      <c r="C13" s="13">
        <v>200</v>
      </c>
      <c r="D13" s="13">
        <v>140</v>
      </c>
      <c r="E13" s="1"/>
      <c r="F13" s="1"/>
      <c r="G13" s="1"/>
      <c r="H13" s="1"/>
      <c r="I13" s="1"/>
      <c r="J13" s="1"/>
      <c r="K13" s="1"/>
      <c r="L13" s="1"/>
    </row>
    <row r="14" spans="1:12" ht="17">
      <c r="A14" s="1"/>
      <c r="B14" s="21" t="s">
        <v>81</v>
      </c>
      <c r="C14" s="13">
        <v>175</v>
      </c>
      <c r="D14" s="13">
        <v>150</v>
      </c>
      <c r="E14" s="1"/>
      <c r="F14" s="1"/>
      <c r="G14" s="1"/>
      <c r="H14" s="1"/>
      <c r="I14" s="1"/>
      <c r="J14" s="1"/>
      <c r="K14" s="1"/>
      <c r="L14" s="1"/>
    </row>
    <row r="15" spans="1:12" ht="17">
      <c r="A15" s="1"/>
      <c r="B15" s="21" t="s">
        <v>82</v>
      </c>
      <c r="C15" s="13">
        <v>160</v>
      </c>
      <c r="D15" s="13">
        <v>165</v>
      </c>
      <c r="E15" s="1"/>
      <c r="F15" s="1"/>
      <c r="G15" s="1"/>
      <c r="H15" s="1"/>
      <c r="I15" s="1"/>
      <c r="J15" s="1"/>
      <c r="K15" s="1"/>
      <c r="L15" s="1"/>
    </row>
    <row r="16" spans="1:12" ht="17">
      <c r="A16" s="1"/>
      <c r="B16" s="21" t="s">
        <v>83</v>
      </c>
      <c r="C16" s="13">
        <v>210</v>
      </c>
      <c r="D16" s="13">
        <v>180</v>
      </c>
      <c r="E16" s="1"/>
      <c r="F16" s="1"/>
      <c r="G16" s="1"/>
      <c r="H16" s="1"/>
      <c r="I16" s="1"/>
      <c r="J16" s="1"/>
      <c r="K16" s="1"/>
      <c r="L16" s="1"/>
    </row>
    <row r="17" spans="1:1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ht="15">
      <c r="A19" s="1"/>
      <c r="B19" s="9" t="s">
        <v>51</v>
      </c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ht="17">
      <c r="A20" s="1"/>
      <c r="B20" s="10" t="s">
        <v>84</v>
      </c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ht="17">
      <c r="A21" s="1"/>
      <c r="B21" s="1" t="s">
        <v>85</v>
      </c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ht="17">
      <c r="A22" s="1"/>
      <c r="B22" s="1" t="s">
        <v>86</v>
      </c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>
      <c r="A23" s="1"/>
      <c r="B23" s="1" t="s">
        <v>87</v>
      </c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ht="17">
      <c r="A24" s="1"/>
      <c r="B24" s="1" t="s">
        <v>88</v>
      </c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ht="19">
      <c r="A26" s="1"/>
      <c r="B26" s="16" t="s">
        <v>56</v>
      </c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ht="17">
      <c r="A27" s="1"/>
      <c r="B27" s="17" t="s">
        <v>89</v>
      </c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ht="17">
      <c r="A28" s="1"/>
      <c r="B28" s="18" t="s">
        <v>90</v>
      </c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ht="17">
      <c r="A29" s="1"/>
      <c r="B29" s="18" t="s">
        <v>91</v>
      </c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ht="17">
      <c r="A30" s="1"/>
      <c r="B30" s="18" t="s">
        <v>92</v>
      </c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 ht="19">
      <c r="A32" s="1"/>
      <c r="B32" s="19" t="s">
        <v>64</v>
      </c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 ht="17">
      <c r="A33" s="1"/>
      <c r="B33" s="10" t="s">
        <v>93</v>
      </c>
      <c r="C33" s="20"/>
      <c r="D33" s="1"/>
      <c r="E33" s="1"/>
      <c r="F33" s="1"/>
      <c r="G33" s="1"/>
      <c r="H33" s="1"/>
      <c r="I33" s="1"/>
      <c r="J33" s="1"/>
      <c r="K33" s="1"/>
      <c r="L33" s="1"/>
    </row>
    <row r="34" spans="1:12">
      <c r="A34" s="1"/>
      <c r="B34" s="1" t="s">
        <v>94</v>
      </c>
      <c r="C34" s="20"/>
      <c r="D34" s="1"/>
      <c r="E34" s="1"/>
      <c r="F34" s="1"/>
      <c r="G34" s="1"/>
      <c r="H34" s="1"/>
      <c r="I34" s="1"/>
      <c r="J34" s="1"/>
      <c r="K34" s="1"/>
      <c r="L34" s="1"/>
    </row>
    <row r="35" spans="1:12" ht="17">
      <c r="A35" s="1"/>
      <c r="B35" s="1" t="s">
        <v>95</v>
      </c>
      <c r="C35" s="20"/>
      <c r="D35" s="1"/>
      <c r="E35" s="1"/>
      <c r="F35" s="1"/>
      <c r="G35" s="1"/>
      <c r="H35" s="1"/>
      <c r="I35" s="1"/>
      <c r="J35" s="1"/>
      <c r="K35" s="1"/>
      <c r="L35" s="1"/>
    </row>
    <row r="36" spans="1:12" ht="17">
      <c r="A36" s="1"/>
      <c r="B36" s="10" t="s">
        <v>96</v>
      </c>
      <c r="C36" s="20"/>
      <c r="D36" s="1"/>
      <c r="E36" s="1"/>
      <c r="F36" s="1"/>
      <c r="G36" s="1"/>
      <c r="H36" s="1"/>
      <c r="I36" s="1"/>
      <c r="J36" s="1"/>
      <c r="K36" s="1"/>
      <c r="L36" s="1"/>
    </row>
    <row r="37" spans="1:1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</sheetData>
  <phoneticPr fontId="21"/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4472C4"/>
  </sheetPr>
  <dimension ref="A1:L60"/>
  <sheetViews>
    <sheetView tabSelected="1" zoomScale="180" zoomScaleNormal="100" workbookViewId="0"/>
  </sheetViews>
  <sheetFormatPr baseColWidth="10" defaultColWidth="9.5" defaultRowHeight="14"/>
  <cols>
    <col min="1" max="1" width="2.1640625" customWidth="1"/>
    <col min="2" max="3" width="15.1640625" customWidth="1"/>
    <col min="4" max="4" width="13" customWidth="1"/>
  </cols>
  <sheetData>
    <row r="1" spans="1:12" ht="23">
      <c r="A1" s="1"/>
      <c r="B1" s="11" t="s">
        <v>97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1"/>
      <c r="B2" s="3" t="s">
        <v>41</v>
      </c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17">
      <c r="A4" s="1"/>
      <c r="B4" s="12" t="s">
        <v>98</v>
      </c>
      <c r="C4" s="12" t="s">
        <v>99</v>
      </c>
      <c r="D4" s="5" t="s">
        <v>100</v>
      </c>
      <c r="E4" s="1"/>
      <c r="F4" s="1"/>
      <c r="G4" s="1"/>
      <c r="H4" s="1"/>
      <c r="I4" s="1"/>
      <c r="J4" s="1"/>
      <c r="K4" s="1"/>
      <c r="L4" s="1"/>
    </row>
    <row r="5" spans="1:12" ht="17">
      <c r="A5" s="1"/>
      <c r="B5" s="7" t="s">
        <v>101</v>
      </c>
      <c r="C5" s="13">
        <v>4500</v>
      </c>
      <c r="D5" s="22">
        <f t="shared" ref="D5:D10" si="0">C5/SUM($C$5:$C$10)</f>
        <v>0.5</v>
      </c>
      <c r="E5" s="1"/>
      <c r="F5" s="1"/>
      <c r="G5" s="1"/>
      <c r="H5" s="1"/>
      <c r="I5" s="1"/>
      <c r="J5" s="1"/>
      <c r="K5" s="1"/>
      <c r="L5" s="1"/>
    </row>
    <row r="6" spans="1:12" ht="17">
      <c r="A6" s="1"/>
      <c r="B6" s="7" t="s">
        <v>102</v>
      </c>
      <c r="C6" s="13">
        <v>1800</v>
      </c>
      <c r="D6" s="22">
        <f t="shared" si="0"/>
        <v>0.2</v>
      </c>
      <c r="E6" s="1"/>
      <c r="F6" s="1"/>
      <c r="G6" s="1"/>
      <c r="H6" s="1"/>
      <c r="I6" s="1"/>
      <c r="J6" s="1"/>
      <c r="K6" s="1"/>
      <c r="L6" s="1"/>
    </row>
    <row r="7" spans="1:12" ht="17">
      <c r="A7" s="1"/>
      <c r="B7" s="7" t="s">
        <v>103</v>
      </c>
      <c r="C7" s="13">
        <v>1200</v>
      </c>
      <c r="D7" s="22">
        <f t="shared" si="0"/>
        <v>0.13333333333333333</v>
      </c>
      <c r="E7" s="1"/>
      <c r="F7" s="1"/>
      <c r="G7" s="1"/>
      <c r="H7" s="1"/>
      <c r="I7" s="1"/>
      <c r="J7" s="1"/>
      <c r="K7" s="1"/>
      <c r="L7" s="1"/>
    </row>
    <row r="8" spans="1:12" ht="17">
      <c r="A8" s="1"/>
      <c r="B8" s="7" t="s">
        <v>104</v>
      </c>
      <c r="C8" s="13">
        <v>600</v>
      </c>
      <c r="D8" s="22">
        <f t="shared" si="0"/>
        <v>6.6666666666666666E-2</v>
      </c>
      <c r="E8" s="1"/>
      <c r="F8" s="1"/>
      <c r="G8" s="1"/>
      <c r="H8" s="1"/>
      <c r="I8" s="1"/>
      <c r="J8" s="1"/>
      <c r="K8" s="1"/>
      <c r="L8" s="1"/>
    </row>
    <row r="9" spans="1:12" ht="17">
      <c r="A9" s="1"/>
      <c r="B9" s="7" t="s">
        <v>105</v>
      </c>
      <c r="C9" s="13">
        <v>400</v>
      </c>
      <c r="D9" s="22">
        <f t="shared" si="0"/>
        <v>4.4444444444444446E-2</v>
      </c>
      <c r="E9" s="1"/>
      <c r="F9" s="1"/>
      <c r="G9" s="1"/>
      <c r="H9" s="1"/>
      <c r="I9" s="1"/>
      <c r="J9" s="1"/>
      <c r="K9" s="1"/>
      <c r="L9" s="1"/>
    </row>
    <row r="10" spans="1:12" ht="17">
      <c r="A10" s="1"/>
      <c r="B10" s="7" t="s">
        <v>106</v>
      </c>
      <c r="C10" s="13">
        <v>500</v>
      </c>
      <c r="D10" s="22">
        <f t="shared" si="0"/>
        <v>5.5555555555555552E-2</v>
      </c>
      <c r="E10" s="1"/>
      <c r="F10" s="1"/>
      <c r="G10" s="1"/>
      <c r="H10" s="1"/>
      <c r="I10" s="1"/>
      <c r="J10" s="1"/>
      <c r="K10" s="1"/>
      <c r="L10" s="1"/>
    </row>
    <row r="11" spans="1:1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ht="15">
      <c r="A13" s="1"/>
      <c r="B13" s="9" t="s">
        <v>51</v>
      </c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ht="17">
      <c r="A14" s="1"/>
      <c r="B14" s="10" t="s">
        <v>107</v>
      </c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ht="17">
      <c r="A15" s="1"/>
      <c r="B15" s="1" t="s">
        <v>108</v>
      </c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>
      <c r="A16" s="1"/>
      <c r="B16" s="1" t="s">
        <v>109</v>
      </c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>
      <c r="A17" s="1"/>
      <c r="B17" s="1" t="s">
        <v>110</v>
      </c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ht="17">
      <c r="A18" s="1"/>
      <c r="B18" s="10" t="s">
        <v>111</v>
      </c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ht="19">
      <c r="A20" s="1"/>
      <c r="B20" s="16" t="s">
        <v>56</v>
      </c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ht="17">
      <c r="A21" s="1"/>
      <c r="B21" s="17" t="s">
        <v>112</v>
      </c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ht="17">
      <c r="A22" s="1"/>
      <c r="B22" s="17" t="s">
        <v>113</v>
      </c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>
      <c r="A23" s="1"/>
      <c r="B23" s="18" t="s">
        <v>114</v>
      </c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ht="17">
      <c r="A24" s="1"/>
      <c r="B24" s="18" t="s">
        <v>115</v>
      </c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ht="17">
      <c r="A25" s="1"/>
      <c r="B25" s="18" t="s">
        <v>116</v>
      </c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ht="17">
      <c r="A26" s="1"/>
      <c r="B26" s="17" t="s">
        <v>117</v>
      </c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ht="19">
      <c r="A28" s="1"/>
      <c r="B28" s="19" t="s">
        <v>64</v>
      </c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ht="17">
      <c r="A29" s="1"/>
      <c r="B29" s="1" t="s">
        <v>118</v>
      </c>
      <c r="C29" s="20"/>
      <c r="D29" s="1"/>
      <c r="E29" s="1"/>
      <c r="F29" s="1"/>
      <c r="G29" s="1"/>
      <c r="H29" s="1"/>
      <c r="I29" s="1"/>
      <c r="J29" s="1"/>
      <c r="K29" s="1"/>
      <c r="L29" s="1"/>
    </row>
    <row r="30" spans="1:12">
      <c r="A30" s="1"/>
      <c r="B30" s="1" t="s">
        <v>119</v>
      </c>
      <c r="C30" s="20"/>
      <c r="D30" s="1"/>
      <c r="E30" s="1"/>
      <c r="F30" s="1"/>
      <c r="G30" s="1"/>
      <c r="H30" s="1"/>
      <c r="I30" s="1"/>
      <c r="J30" s="1"/>
      <c r="K30" s="1"/>
      <c r="L30" s="1"/>
    </row>
    <row r="31" spans="1:12" ht="17">
      <c r="A31" s="1"/>
      <c r="B31" s="1" t="s">
        <v>120</v>
      </c>
      <c r="C31" s="20"/>
      <c r="D31" s="1"/>
      <c r="E31" s="1"/>
      <c r="F31" s="1"/>
      <c r="G31" s="1"/>
      <c r="H31" s="1"/>
      <c r="I31" s="1"/>
      <c r="J31" s="1"/>
      <c r="K31" s="1"/>
      <c r="L31" s="1"/>
    </row>
    <row r="32" spans="1:1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</sheetData>
  <phoneticPr fontId="21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4472C4"/>
  </sheetPr>
  <dimension ref="A1:L60"/>
  <sheetViews>
    <sheetView zoomScaleNormal="100" workbookViewId="0"/>
  </sheetViews>
  <sheetFormatPr baseColWidth="10" defaultColWidth="9.5" defaultRowHeight="14"/>
  <cols>
    <col min="1" max="1" width="2.1640625" customWidth="1"/>
    <col min="2" max="6" width="13" customWidth="1"/>
  </cols>
  <sheetData>
    <row r="1" spans="1:12" ht="23">
      <c r="A1" s="1"/>
      <c r="B1" s="11" t="s">
        <v>121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1"/>
      <c r="B2" s="3" t="s">
        <v>122</v>
      </c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>
      <c r="A4" s="1"/>
      <c r="B4" s="12" t="s">
        <v>123</v>
      </c>
      <c r="C4" s="12" t="s">
        <v>124</v>
      </c>
      <c r="D4" s="12" t="s">
        <v>125</v>
      </c>
      <c r="E4" s="12" t="s">
        <v>126</v>
      </c>
      <c r="F4" s="12" t="s">
        <v>127</v>
      </c>
      <c r="G4" s="1"/>
      <c r="H4" s="1"/>
      <c r="I4" s="1"/>
      <c r="J4" s="1"/>
      <c r="K4" s="1"/>
      <c r="L4" s="1"/>
    </row>
    <row r="5" spans="1:12" ht="17">
      <c r="A5" s="1"/>
      <c r="B5" s="7" t="s">
        <v>128</v>
      </c>
      <c r="C5" s="13">
        <v>320</v>
      </c>
      <c r="D5" s="13">
        <v>210</v>
      </c>
      <c r="E5" s="13">
        <v>150</v>
      </c>
      <c r="F5" s="13">
        <v>90</v>
      </c>
      <c r="G5" s="1"/>
      <c r="H5" s="1"/>
      <c r="I5" s="1"/>
      <c r="J5" s="1"/>
      <c r="K5" s="1"/>
      <c r="L5" s="1"/>
    </row>
    <row r="6" spans="1:12" ht="17">
      <c r="A6" s="1"/>
      <c r="B6" s="7" t="s">
        <v>129</v>
      </c>
      <c r="C6" s="13">
        <v>350</v>
      </c>
      <c r="D6" s="13">
        <v>240</v>
      </c>
      <c r="E6" s="13">
        <v>170</v>
      </c>
      <c r="F6" s="13">
        <v>110</v>
      </c>
      <c r="G6" s="1"/>
      <c r="H6" s="1"/>
      <c r="I6" s="1"/>
      <c r="J6" s="1"/>
      <c r="K6" s="1"/>
      <c r="L6" s="1"/>
    </row>
    <row r="7" spans="1:12" ht="17">
      <c r="A7" s="1"/>
      <c r="B7" s="7" t="s">
        <v>130</v>
      </c>
      <c r="C7" s="13">
        <v>300</v>
      </c>
      <c r="D7" s="13">
        <v>280</v>
      </c>
      <c r="E7" s="13">
        <v>200</v>
      </c>
      <c r="F7" s="13">
        <v>130</v>
      </c>
      <c r="G7" s="1"/>
      <c r="H7" s="1"/>
      <c r="I7" s="1"/>
      <c r="J7" s="1"/>
      <c r="K7" s="1"/>
      <c r="L7" s="1"/>
    </row>
    <row r="8" spans="1:12" ht="17">
      <c r="A8" s="1"/>
      <c r="B8" s="7" t="s">
        <v>131</v>
      </c>
      <c r="C8" s="13">
        <v>410</v>
      </c>
      <c r="D8" s="13">
        <v>300</v>
      </c>
      <c r="E8" s="13">
        <v>220</v>
      </c>
      <c r="F8" s="13">
        <v>160</v>
      </c>
      <c r="G8" s="1"/>
      <c r="H8" s="1"/>
      <c r="I8" s="1"/>
      <c r="J8" s="1"/>
      <c r="K8" s="1"/>
      <c r="L8" s="1"/>
    </row>
    <row r="9" spans="1:1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 ht="15">
      <c r="A11" s="1"/>
      <c r="B11" s="9" t="s">
        <v>51</v>
      </c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ht="17">
      <c r="A12" s="1"/>
      <c r="B12" s="10" t="s">
        <v>132</v>
      </c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ht="17">
      <c r="A13" s="1"/>
      <c r="B13" s="1" t="s">
        <v>133</v>
      </c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ht="17">
      <c r="A14" s="1"/>
      <c r="B14" s="1" t="s">
        <v>134</v>
      </c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ht="17">
      <c r="A15" s="1"/>
      <c r="B15" s="1" t="s">
        <v>135</v>
      </c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ht="17">
      <c r="A16" s="1"/>
      <c r="B16" s="10" t="s">
        <v>136</v>
      </c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ht="19">
      <c r="A18" s="1"/>
      <c r="B18" s="16" t="s">
        <v>56</v>
      </c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ht="17">
      <c r="A19" s="1"/>
      <c r="B19" s="17" t="s">
        <v>137</v>
      </c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ht="17">
      <c r="A20" s="1"/>
      <c r="B20" s="18" t="s">
        <v>138</v>
      </c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ht="17">
      <c r="A21" s="1"/>
      <c r="B21" s="18" t="s">
        <v>139</v>
      </c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ht="17">
      <c r="A22" s="1"/>
      <c r="B22" s="17" t="s">
        <v>140</v>
      </c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ht="19">
      <c r="A24" s="1"/>
      <c r="B24" s="19" t="s">
        <v>64</v>
      </c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>
      <c r="A25" s="1"/>
      <c r="B25" s="1" t="s">
        <v>141</v>
      </c>
      <c r="C25" s="20"/>
      <c r="D25" s="1"/>
      <c r="E25" s="1"/>
      <c r="F25" s="1"/>
      <c r="G25" s="1"/>
      <c r="H25" s="1"/>
      <c r="I25" s="1"/>
      <c r="J25" s="1"/>
      <c r="K25" s="1"/>
      <c r="L25" s="1"/>
    </row>
    <row r="26" spans="1:12" ht="17">
      <c r="A26" s="1"/>
      <c r="B26" s="1" t="s">
        <v>142</v>
      </c>
      <c r="C26" s="20"/>
      <c r="D26" s="1"/>
      <c r="E26" s="1"/>
      <c r="F26" s="1"/>
      <c r="G26" s="1"/>
      <c r="H26" s="1"/>
      <c r="I26" s="1"/>
      <c r="J26" s="1"/>
      <c r="K26" s="1"/>
      <c r="L26" s="1"/>
    </row>
    <row r="27" spans="1:12">
      <c r="A27" s="1"/>
      <c r="B27" s="1" t="s">
        <v>143</v>
      </c>
      <c r="C27" s="20"/>
      <c r="D27" s="1"/>
      <c r="E27" s="1"/>
      <c r="F27" s="1"/>
      <c r="G27" s="1"/>
      <c r="H27" s="1"/>
      <c r="I27" s="1"/>
      <c r="J27" s="1"/>
      <c r="K27" s="1"/>
      <c r="L27" s="1"/>
    </row>
    <row r="28" spans="1:12" ht="17">
      <c r="A28" s="1"/>
      <c r="B28" s="10" t="s">
        <v>144</v>
      </c>
      <c r="C28" s="20"/>
      <c r="D28" s="1"/>
      <c r="E28" s="1"/>
      <c r="F28" s="1"/>
      <c r="G28" s="1"/>
      <c r="H28" s="1"/>
      <c r="I28" s="1"/>
      <c r="J28" s="1"/>
      <c r="K28" s="1"/>
      <c r="L28" s="1"/>
    </row>
    <row r="29" spans="1:1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</sheetData>
  <phoneticPr fontId="21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4472C4"/>
  </sheetPr>
  <dimension ref="A1:L60"/>
  <sheetViews>
    <sheetView zoomScaleNormal="100" workbookViewId="0"/>
  </sheetViews>
  <sheetFormatPr baseColWidth="10" defaultColWidth="9.5" defaultRowHeight="14"/>
  <cols>
    <col min="1" max="1" width="2.1640625" customWidth="1"/>
    <col min="2" max="3" width="15.1640625" customWidth="1"/>
  </cols>
  <sheetData>
    <row r="1" spans="1:12" ht="23">
      <c r="A1" s="1"/>
      <c r="B1" s="11" t="s">
        <v>145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1"/>
      <c r="B2" s="3" t="s">
        <v>122</v>
      </c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>
      <c r="A4" s="1"/>
      <c r="B4" s="12" t="s">
        <v>146</v>
      </c>
      <c r="C4" s="12" t="s">
        <v>147</v>
      </c>
      <c r="D4" s="1"/>
      <c r="E4" s="1"/>
      <c r="F4" s="1"/>
      <c r="G4" s="1"/>
      <c r="H4" s="1"/>
      <c r="I4" s="1"/>
      <c r="J4" s="1"/>
      <c r="K4" s="1"/>
      <c r="L4" s="1"/>
    </row>
    <row r="5" spans="1:12" ht="17">
      <c r="A5" s="1"/>
      <c r="B5" s="7" t="s">
        <v>148</v>
      </c>
      <c r="C5" s="13">
        <v>820</v>
      </c>
      <c r="D5" s="1"/>
      <c r="E5" s="1"/>
      <c r="F5" s="1"/>
      <c r="G5" s="1"/>
      <c r="H5" s="1"/>
      <c r="I5" s="1"/>
      <c r="J5" s="1"/>
      <c r="K5" s="1"/>
      <c r="L5" s="1"/>
    </row>
    <row r="6" spans="1:12" ht="17">
      <c r="A6" s="1"/>
      <c r="B6" s="7" t="s">
        <v>149</v>
      </c>
      <c r="C6" s="13">
        <v>1340</v>
      </c>
      <c r="D6" s="1"/>
      <c r="E6" s="1"/>
      <c r="F6" s="1"/>
      <c r="G6" s="1"/>
      <c r="H6" s="1"/>
      <c r="I6" s="1"/>
      <c r="J6" s="1"/>
      <c r="K6" s="1"/>
      <c r="L6" s="1"/>
    </row>
    <row r="7" spans="1:12" ht="17">
      <c r="A7" s="1"/>
      <c r="B7" s="7" t="s">
        <v>150</v>
      </c>
      <c r="C7" s="13">
        <v>560</v>
      </c>
      <c r="D7" s="1"/>
      <c r="E7" s="1"/>
      <c r="F7" s="1"/>
      <c r="G7" s="1"/>
      <c r="H7" s="1"/>
      <c r="I7" s="1"/>
      <c r="J7" s="1"/>
      <c r="K7" s="1"/>
      <c r="L7" s="1"/>
    </row>
    <row r="8" spans="1:12" ht="17">
      <c r="A8" s="1"/>
      <c r="B8" s="7" t="s">
        <v>151</v>
      </c>
      <c r="C8" s="13">
        <v>970</v>
      </c>
      <c r="D8" s="1"/>
      <c r="E8" s="1"/>
      <c r="F8" s="1"/>
      <c r="G8" s="1"/>
      <c r="H8" s="1"/>
      <c r="I8" s="1"/>
      <c r="J8" s="1"/>
      <c r="K8" s="1"/>
      <c r="L8" s="1"/>
    </row>
    <row r="9" spans="1:12" ht="17">
      <c r="A9" s="1"/>
      <c r="B9" s="7" t="s">
        <v>152</v>
      </c>
      <c r="C9" s="13">
        <v>310</v>
      </c>
      <c r="D9" s="1"/>
      <c r="E9" s="1"/>
      <c r="F9" s="1"/>
      <c r="G9" s="1"/>
      <c r="H9" s="1"/>
      <c r="I9" s="1"/>
      <c r="J9" s="1"/>
      <c r="K9" s="1"/>
      <c r="L9" s="1"/>
    </row>
    <row r="10" spans="1:12" ht="17">
      <c r="A10" s="1"/>
      <c r="B10" s="7" t="s">
        <v>153</v>
      </c>
      <c r="C10" s="13">
        <v>450</v>
      </c>
      <c r="D10" s="1"/>
      <c r="E10" s="1"/>
      <c r="F10" s="1"/>
      <c r="G10" s="1"/>
      <c r="H10" s="1"/>
      <c r="I10" s="1"/>
      <c r="J10" s="1"/>
      <c r="K10" s="1"/>
      <c r="L10" s="1"/>
    </row>
    <row r="11" spans="1:12" ht="17">
      <c r="A11" s="1"/>
      <c r="B11" s="7" t="s">
        <v>154</v>
      </c>
      <c r="C11" s="13">
        <v>390</v>
      </c>
      <c r="D11" s="1"/>
      <c r="E11" s="1"/>
      <c r="F11" s="1"/>
      <c r="G11" s="1"/>
      <c r="H11" s="1"/>
      <c r="I11" s="1"/>
      <c r="J11" s="1"/>
      <c r="K11" s="1"/>
      <c r="L11" s="1"/>
    </row>
    <row r="12" spans="1:12" ht="17">
      <c r="A12" s="1"/>
      <c r="B12" s="7" t="s">
        <v>155</v>
      </c>
      <c r="C12" s="13">
        <v>1120</v>
      </c>
      <c r="D12" s="1"/>
      <c r="E12" s="1"/>
      <c r="F12" s="1"/>
      <c r="G12" s="1"/>
      <c r="H12" s="1"/>
      <c r="I12" s="1"/>
      <c r="J12" s="1"/>
      <c r="K12" s="1"/>
      <c r="L12" s="1"/>
    </row>
    <row r="13" spans="1:1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ht="15">
      <c r="A15" s="1"/>
      <c r="B15" s="9" t="s">
        <v>51</v>
      </c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ht="17">
      <c r="A16" s="1"/>
      <c r="B16" s="10" t="s">
        <v>156</v>
      </c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ht="17">
      <c r="A17" s="1"/>
      <c r="B17" s="1" t="s">
        <v>157</v>
      </c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ht="17">
      <c r="A18" s="1"/>
      <c r="B18" s="1" t="s">
        <v>158</v>
      </c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>
      <c r="A19" s="1"/>
      <c r="B19" s="1" t="s">
        <v>159</v>
      </c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ht="19">
      <c r="A21" s="1"/>
      <c r="B21" s="16" t="s">
        <v>56</v>
      </c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ht="17">
      <c r="A22" s="1"/>
      <c r="B22" s="17" t="s">
        <v>160</v>
      </c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ht="17">
      <c r="A23" s="1"/>
      <c r="B23" s="18" t="s">
        <v>161</v>
      </c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ht="17">
      <c r="A24" s="1"/>
      <c r="B24" s="18" t="s">
        <v>162</v>
      </c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ht="17">
      <c r="A25" s="1"/>
      <c r="B25" s="18" t="s">
        <v>163</v>
      </c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ht="17">
      <c r="A26" s="1"/>
      <c r="B26" s="18" t="s">
        <v>164</v>
      </c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ht="19">
      <c r="A28" s="1"/>
      <c r="B28" s="19" t="s">
        <v>64</v>
      </c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ht="17">
      <c r="A29" s="1"/>
      <c r="B29" s="1" t="s">
        <v>165</v>
      </c>
      <c r="C29" s="20"/>
      <c r="D29" s="1"/>
      <c r="E29" s="1"/>
      <c r="F29" s="1"/>
      <c r="G29" s="1"/>
      <c r="H29" s="1"/>
      <c r="I29" s="1"/>
      <c r="J29" s="1"/>
      <c r="K29" s="1"/>
      <c r="L29" s="1"/>
    </row>
    <row r="30" spans="1:12">
      <c r="A30" s="1"/>
      <c r="B30" s="1" t="s">
        <v>166</v>
      </c>
      <c r="C30" s="20"/>
      <c r="D30" s="1"/>
      <c r="E30" s="1"/>
      <c r="F30" s="1"/>
      <c r="G30" s="1"/>
      <c r="H30" s="1"/>
      <c r="I30" s="1"/>
      <c r="J30" s="1"/>
      <c r="K30" s="1"/>
      <c r="L30" s="1"/>
    </row>
    <row r="31" spans="1:1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</sheetData>
  <phoneticPr fontId="21"/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4472C4"/>
  </sheetPr>
  <dimension ref="A1:L60"/>
  <sheetViews>
    <sheetView zoomScaleNormal="100" workbookViewId="0"/>
  </sheetViews>
  <sheetFormatPr baseColWidth="10" defaultColWidth="9.5" defaultRowHeight="14"/>
  <cols>
    <col min="1" max="1" width="2.1640625" customWidth="1"/>
    <col min="2" max="5" width="14.1640625" customWidth="1"/>
  </cols>
  <sheetData>
    <row r="1" spans="1:12" ht="23">
      <c r="A1" s="1"/>
      <c r="B1" s="11" t="s">
        <v>167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1"/>
      <c r="B2" s="3" t="s">
        <v>168</v>
      </c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17">
      <c r="A4" s="1"/>
      <c r="B4" s="12" t="s">
        <v>169</v>
      </c>
      <c r="C4" s="12" t="s">
        <v>170</v>
      </c>
      <c r="D4" s="12" t="s">
        <v>171</v>
      </c>
      <c r="E4" s="12" t="s">
        <v>172</v>
      </c>
      <c r="F4" s="1"/>
      <c r="G4" s="1"/>
      <c r="H4" s="1"/>
      <c r="I4" s="1"/>
      <c r="J4" s="1"/>
      <c r="K4" s="1"/>
      <c r="L4" s="1"/>
    </row>
    <row r="5" spans="1:12" ht="17">
      <c r="A5" s="1"/>
      <c r="B5" s="21" t="s">
        <v>173</v>
      </c>
      <c r="C5" s="13">
        <v>5200</v>
      </c>
      <c r="D5" s="13">
        <v>312</v>
      </c>
      <c r="E5" s="22">
        <f t="shared" ref="E5:E10" si="0">D5/C5</f>
        <v>0.06</v>
      </c>
      <c r="F5" s="1"/>
      <c r="G5" s="1"/>
      <c r="H5" s="1"/>
      <c r="I5" s="1"/>
      <c r="J5" s="1"/>
      <c r="K5" s="1"/>
      <c r="L5" s="1"/>
    </row>
    <row r="6" spans="1:12" ht="17">
      <c r="A6" s="1"/>
      <c r="B6" s="21" t="s">
        <v>174</v>
      </c>
      <c r="C6" s="13">
        <v>5800</v>
      </c>
      <c r="D6" s="13">
        <v>406</v>
      </c>
      <c r="E6" s="22">
        <f t="shared" si="0"/>
        <v>7.0000000000000007E-2</v>
      </c>
      <c r="F6" s="1"/>
      <c r="G6" s="1"/>
      <c r="H6" s="1"/>
      <c r="I6" s="1"/>
      <c r="J6" s="1"/>
      <c r="K6" s="1"/>
      <c r="L6" s="1"/>
    </row>
    <row r="7" spans="1:12" ht="17">
      <c r="A7" s="1"/>
      <c r="B7" s="21" t="s">
        <v>175</v>
      </c>
      <c r="C7" s="13">
        <v>6100</v>
      </c>
      <c r="D7" s="13">
        <v>366</v>
      </c>
      <c r="E7" s="22">
        <f t="shared" si="0"/>
        <v>0.06</v>
      </c>
      <c r="F7" s="1"/>
      <c r="G7" s="1"/>
      <c r="H7" s="1"/>
      <c r="I7" s="1"/>
      <c r="J7" s="1"/>
      <c r="K7" s="1"/>
      <c r="L7" s="1"/>
    </row>
    <row r="8" spans="1:12" ht="17">
      <c r="A8" s="1"/>
      <c r="B8" s="21" t="s">
        <v>176</v>
      </c>
      <c r="C8" s="13">
        <v>6900</v>
      </c>
      <c r="D8" s="13">
        <v>552</v>
      </c>
      <c r="E8" s="22">
        <f t="shared" si="0"/>
        <v>0.08</v>
      </c>
      <c r="F8" s="1"/>
      <c r="G8" s="1"/>
      <c r="H8" s="1"/>
      <c r="I8" s="1"/>
      <c r="J8" s="1"/>
      <c r="K8" s="1"/>
      <c r="L8" s="1"/>
    </row>
    <row r="9" spans="1:12" ht="17">
      <c r="A9" s="1"/>
      <c r="B9" s="21" t="s">
        <v>177</v>
      </c>
      <c r="C9" s="13">
        <v>7400</v>
      </c>
      <c r="D9" s="13">
        <v>666</v>
      </c>
      <c r="E9" s="22">
        <f t="shared" si="0"/>
        <v>0.09</v>
      </c>
      <c r="F9" s="1"/>
      <c r="G9" s="1"/>
      <c r="H9" s="1"/>
      <c r="I9" s="1"/>
      <c r="J9" s="1"/>
      <c r="K9" s="1"/>
      <c r="L9" s="1"/>
    </row>
    <row r="10" spans="1:12" ht="17">
      <c r="A10" s="1"/>
      <c r="B10" s="21" t="s">
        <v>178</v>
      </c>
      <c r="C10" s="13">
        <v>8200</v>
      </c>
      <c r="D10" s="13">
        <v>820</v>
      </c>
      <c r="E10" s="22">
        <f t="shared" si="0"/>
        <v>0.1</v>
      </c>
      <c r="F10" s="1"/>
      <c r="G10" s="1"/>
      <c r="H10" s="1"/>
      <c r="I10" s="1"/>
      <c r="J10" s="1"/>
      <c r="K10" s="1"/>
      <c r="L10" s="1"/>
    </row>
    <row r="11" spans="1:1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ht="15">
      <c r="A12" s="1"/>
      <c r="B12" s="9" t="s">
        <v>51</v>
      </c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ht="17">
      <c r="A13" s="1"/>
      <c r="B13" s="1" t="s">
        <v>179</v>
      </c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ht="17">
      <c r="A14" s="1"/>
      <c r="B14" s="1" t="s">
        <v>180</v>
      </c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ht="17">
      <c r="A15" s="1"/>
      <c r="B15" s="1" t="s">
        <v>181</v>
      </c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ht="17">
      <c r="A16" s="1"/>
      <c r="B16" s="1" t="s">
        <v>182</v>
      </c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ht="17">
      <c r="A17" s="1"/>
      <c r="B17" s="1" t="s">
        <v>183</v>
      </c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ht="17">
      <c r="A18" s="1"/>
      <c r="B18" s="10" t="s">
        <v>184</v>
      </c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ht="19">
      <c r="A20" s="1"/>
      <c r="B20" s="16" t="s">
        <v>56</v>
      </c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ht="17">
      <c r="A21" s="1"/>
      <c r="B21" s="17" t="s">
        <v>185</v>
      </c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ht="17">
      <c r="A22" s="1"/>
      <c r="B22" s="17" t="s">
        <v>186</v>
      </c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ht="17">
      <c r="A23" s="1"/>
      <c r="B23" s="18" t="s">
        <v>187</v>
      </c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ht="17">
      <c r="A24" s="1"/>
      <c r="B24" s="17" t="s">
        <v>188</v>
      </c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ht="17">
      <c r="A25" s="1"/>
      <c r="B25" s="18" t="s">
        <v>189</v>
      </c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ht="17">
      <c r="A26" s="1"/>
      <c r="B26" s="18" t="s">
        <v>190</v>
      </c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>
      <c r="A27" s="1"/>
      <c r="B27" s="18" t="s">
        <v>191</v>
      </c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ht="19">
      <c r="A29" s="1"/>
      <c r="B29" s="19" t="s">
        <v>64</v>
      </c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ht="17">
      <c r="A30" s="1"/>
      <c r="B30" s="1" t="s">
        <v>192</v>
      </c>
      <c r="C30" s="20"/>
      <c r="D30" s="1"/>
      <c r="E30" s="1"/>
      <c r="F30" s="1"/>
      <c r="G30" s="1"/>
      <c r="H30" s="1"/>
      <c r="I30" s="1"/>
      <c r="J30" s="1"/>
      <c r="K30" s="1"/>
      <c r="L30" s="1"/>
    </row>
    <row r="31" spans="1:12" ht="17">
      <c r="A31" s="1"/>
      <c r="B31" s="1" t="s">
        <v>193</v>
      </c>
      <c r="C31" s="20"/>
      <c r="D31" s="1"/>
      <c r="E31" s="1"/>
      <c r="F31" s="1"/>
      <c r="G31" s="1"/>
      <c r="H31" s="1"/>
      <c r="I31" s="1"/>
      <c r="J31" s="1"/>
      <c r="K31" s="1"/>
      <c r="L31" s="1"/>
    </row>
    <row r="32" spans="1:12">
      <c r="A32" s="1"/>
      <c r="B32" s="1" t="s">
        <v>194</v>
      </c>
      <c r="C32" s="20"/>
      <c r="D32" s="1"/>
      <c r="E32" s="1"/>
      <c r="F32" s="1"/>
      <c r="G32" s="1"/>
      <c r="H32" s="1"/>
      <c r="I32" s="1"/>
      <c r="J32" s="1"/>
      <c r="K32" s="1"/>
      <c r="L32" s="1"/>
    </row>
    <row r="33" spans="1:12" ht="17">
      <c r="A33" s="1"/>
      <c r="B33" s="10" t="s">
        <v>195</v>
      </c>
      <c r="C33" s="20"/>
      <c r="D33" s="1"/>
      <c r="E33" s="1"/>
      <c r="F33" s="1"/>
      <c r="G33" s="1"/>
      <c r="H33" s="1"/>
      <c r="I33" s="1"/>
      <c r="J33" s="1"/>
      <c r="K33" s="1"/>
      <c r="L33" s="1"/>
    </row>
    <row r="34" spans="1:1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</sheetData>
  <phoneticPr fontId="21"/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4472C4"/>
  </sheetPr>
  <dimension ref="A1:L60"/>
  <sheetViews>
    <sheetView zoomScaleNormal="100" workbookViewId="0"/>
  </sheetViews>
  <sheetFormatPr baseColWidth="10" defaultColWidth="9.5" defaultRowHeight="14"/>
  <cols>
    <col min="1" max="1" width="2.1640625" customWidth="1"/>
    <col min="2" max="4" width="15.1640625" customWidth="1"/>
  </cols>
  <sheetData>
    <row r="1" spans="1:12" ht="23">
      <c r="A1" s="1"/>
      <c r="B1" s="11" t="s">
        <v>196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1"/>
      <c r="B2" s="3" t="s">
        <v>168</v>
      </c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17">
      <c r="A4" s="1"/>
      <c r="B4" s="12" t="s">
        <v>197</v>
      </c>
      <c r="C4" s="12" t="s">
        <v>198</v>
      </c>
      <c r="D4" s="12" t="s">
        <v>199</v>
      </c>
      <c r="E4" s="1"/>
      <c r="F4" s="1"/>
      <c r="G4" s="1"/>
      <c r="H4" s="1"/>
      <c r="I4" s="1"/>
      <c r="J4" s="1"/>
      <c r="K4" s="1"/>
      <c r="L4" s="1"/>
    </row>
    <row r="5" spans="1:12" ht="17">
      <c r="A5" s="1"/>
      <c r="B5" s="7" t="s">
        <v>200</v>
      </c>
      <c r="C5" s="13">
        <v>10</v>
      </c>
      <c r="D5" s="13">
        <v>180</v>
      </c>
      <c r="E5" s="1"/>
      <c r="F5" s="1"/>
      <c r="G5" s="1"/>
      <c r="H5" s="1"/>
      <c r="I5" s="1"/>
      <c r="J5" s="1"/>
      <c r="K5" s="1"/>
      <c r="L5" s="1"/>
    </row>
    <row r="6" spans="1:12" ht="17">
      <c r="A6" s="1"/>
      <c r="B6" s="7" t="s">
        <v>201</v>
      </c>
      <c r="C6" s="13">
        <v>15</v>
      </c>
      <c r="D6" s="13">
        <v>210</v>
      </c>
      <c r="E6" s="1"/>
      <c r="F6" s="1"/>
      <c r="G6" s="1"/>
      <c r="H6" s="1"/>
      <c r="I6" s="1"/>
      <c r="J6" s="1"/>
      <c r="K6" s="1"/>
      <c r="L6" s="1"/>
    </row>
    <row r="7" spans="1:12" ht="17">
      <c r="A7" s="1"/>
      <c r="B7" s="7" t="s">
        <v>202</v>
      </c>
      <c r="C7" s="13">
        <v>20</v>
      </c>
      <c r="D7" s="13">
        <v>260</v>
      </c>
      <c r="E7" s="1"/>
      <c r="F7" s="1"/>
      <c r="G7" s="1"/>
      <c r="H7" s="1"/>
      <c r="I7" s="1"/>
      <c r="J7" s="1"/>
      <c r="K7" s="1"/>
      <c r="L7" s="1"/>
    </row>
    <row r="8" spans="1:12" ht="17">
      <c r="A8" s="1"/>
      <c r="B8" s="7" t="s">
        <v>203</v>
      </c>
      <c r="C8" s="13">
        <v>25</v>
      </c>
      <c r="D8" s="13">
        <v>270</v>
      </c>
      <c r="E8" s="1"/>
      <c r="F8" s="1"/>
      <c r="G8" s="1"/>
      <c r="H8" s="1"/>
      <c r="I8" s="1"/>
      <c r="J8" s="1"/>
      <c r="K8" s="1"/>
      <c r="L8" s="1"/>
    </row>
    <row r="9" spans="1:12" ht="17">
      <c r="A9" s="1"/>
      <c r="B9" s="7" t="s">
        <v>204</v>
      </c>
      <c r="C9" s="13">
        <v>30</v>
      </c>
      <c r="D9" s="13">
        <v>320</v>
      </c>
      <c r="E9" s="1"/>
      <c r="F9" s="1"/>
      <c r="G9" s="1"/>
      <c r="H9" s="1"/>
      <c r="I9" s="1"/>
      <c r="J9" s="1"/>
      <c r="K9" s="1"/>
      <c r="L9" s="1"/>
    </row>
    <row r="10" spans="1:12" ht="17">
      <c r="A10" s="1"/>
      <c r="B10" s="7" t="s">
        <v>205</v>
      </c>
      <c r="C10" s="13">
        <v>35</v>
      </c>
      <c r="D10" s="13">
        <v>330</v>
      </c>
      <c r="E10" s="1"/>
      <c r="F10" s="1"/>
      <c r="G10" s="1"/>
      <c r="H10" s="1"/>
      <c r="I10" s="1"/>
      <c r="J10" s="1"/>
      <c r="K10" s="1"/>
      <c r="L10" s="1"/>
    </row>
    <row r="11" spans="1:12" ht="17">
      <c r="A11" s="1"/>
      <c r="B11" s="7" t="s">
        <v>206</v>
      </c>
      <c r="C11" s="13">
        <v>40</v>
      </c>
      <c r="D11" s="13">
        <v>390</v>
      </c>
      <c r="E11" s="1"/>
      <c r="F11" s="1"/>
      <c r="G11" s="1"/>
      <c r="H11" s="1"/>
      <c r="I11" s="1"/>
      <c r="J11" s="1"/>
      <c r="K11" s="1"/>
      <c r="L11" s="1"/>
    </row>
    <row r="12" spans="1:12" ht="17">
      <c r="A12" s="1"/>
      <c r="B12" s="7" t="s">
        <v>207</v>
      </c>
      <c r="C12" s="13">
        <v>45</v>
      </c>
      <c r="D12" s="13">
        <v>400</v>
      </c>
      <c r="E12" s="1"/>
      <c r="F12" s="1"/>
      <c r="G12" s="1"/>
      <c r="H12" s="1"/>
      <c r="I12" s="1"/>
      <c r="J12" s="1"/>
      <c r="K12" s="1"/>
      <c r="L12" s="1"/>
    </row>
    <row r="13" spans="1:12" ht="17">
      <c r="A13" s="1"/>
      <c r="B13" s="7" t="s">
        <v>208</v>
      </c>
      <c r="C13" s="13">
        <v>50</v>
      </c>
      <c r="D13" s="13">
        <v>450</v>
      </c>
      <c r="E13" s="1"/>
      <c r="F13" s="1"/>
      <c r="G13" s="1"/>
      <c r="H13" s="1"/>
      <c r="I13" s="1"/>
      <c r="J13" s="1"/>
      <c r="K13" s="1"/>
      <c r="L13" s="1"/>
    </row>
    <row r="14" spans="1:12" ht="17">
      <c r="A14" s="1"/>
      <c r="B14" s="7" t="s">
        <v>209</v>
      </c>
      <c r="C14" s="13">
        <v>55</v>
      </c>
      <c r="D14" s="13">
        <v>470</v>
      </c>
      <c r="E14" s="1"/>
      <c r="F14" s="1"/>
      <c r="G14" s="1"/>
      <c r="H14" s="1"/>
      <c r="I14" s="1"/>
      <c r="J14" s="1"/>
      <c r="K14" s="1"/>
      <c r="L14" s="1"/>
    </row>
    <row r="15" spans="1:12" ht="17">
      <c r="A15" s="1"/>
      <c r="B15" s="7" t="s">
        <v>210</v>
      </c>
      <c r="C15" s="13">
        <v>60</v>
      </c>
      <c r="D15" s="13">
        <v>500</v>
      </c>
      <c r="E15" s="1"/>
      <c r="F15" s="1"/>
      <c r="G15" s="1"/>
      <c r="H15" s="1"/>
      <c r="I15" s="1"/>
      <c r="J15" s="1"/>
      <c r="K15" s="1"/>
      <c r="L15" s="1"/>
    </row>
    <row r="16" spans="1:12" ht="17">
      <c r="A16" s="1"/>
      <c r="B16" s="7" t="s">
        <v>211</v>
      </c>
      <c r="C16" s="13">
        <v>65</v>
      </c>
      <c r="D16" s="13">
        <v>540</v>
      </c>
      <c r="E16" s="1"/>
      <c r="F16" s="1"/>
      <c r="G16" s="1"/>
      <c r="H16" s="1"/>
      <c r="I16" s="1"/>
      <c r="J16" s="1"/>
      <c r="K16" s="1"/>
      <c r="L16" s="1"/>
    </row>
    <row r="17" spans="1:1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ht="17">
      <c r="A18" s="1"/>
      <c r="B18" s="14" t="s">
        <v>212</v>
      </c>
      <c r="C18" s="23">
        <f>CORREL(C5:C16,D5:D16)</f>
        <v>0.99687106514144286</v>
      </c>
      <c r="D18" s="1"/>
      <c r="E18" s="1"/>
      <c r="F18" s="1"/>
      <c r="G18" s="1"/>
      <c r="H18" s="1"/>
      <c r="I18" s="1"/>
      <c r="J18" s="1"/>
      <c r="K18" s="1"/>
      <c r="L18" s="1"/>
    </row>
    <row r="19" spans="1:12" ht="17">
      <c r="A19" s="1"/>
      <c r="B19" s="14" t="s">
        <v>213</v>
      </c>
      <c r="C19" s="24">
        <f>SLOPE(D5:D16,C5:C16)</f>
        <v>6.4615384615384617</v>
      </c>
      <c r="D19" s="1"/>
      <c r="E19" s="1"/>
      <c r="F19" s="1"/>
      <c r="G19" s="1"/>
      <c r="H19" s="1"/>
      <c r="I19" s="1"/>
      <c r="J19" s="1"/>
      <c r="K19" s="1"/>
      <c r="L19" s="1"/>
    </row>
    <row r="20" spans="1:12" ht="17">
      <c r="A20" s="1"/>
      <c r="B20" s="14" t="s">
        <v>214</v>
      </c>
      <c r="C20" s="25">
        <f>INTERCEPT(D5:D16,C5:C16)</f>
        <v>117.69230769230768</v>
      </c>
      <c r="D20" s="1"/>
      <c r="E20" s="1"/>
      <c r="F20" s="1"/>
      <c r="G20" s="1"/>
      <c r="H20" s="1"/>
      <c r="I20" s="1"/>
      <c r="J20" s="1"/>
      <c r="K20" s="1"/>
      <c r="L20" s="1"/>
    </row>
    <row r="21" spans="1:12" ht="15">
      <c r="A21" s="1"/>
      <c r="B21" s="9" t="s">
        <v>51</v>
      </c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ht="17">
      <c r="A22" s="1"/>
      <c r="B22" s="1" t="s">
        <v>215</v>
      </c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ht="17">
      <c r="A23" s="1"/>
      <c r="B23" s="1" t="s">
        <v>216</v>
      </c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ht="17">
      <c r="A24" s="1"/>
      <c r="B24" s="1" t="s">
        <v>217</v>
      </c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ht="17">
      <c r="A25" s="1"/>
      <c r="B25" s="1" t="s">
        <v>218</v>
      </c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ht="19">
      <c r="A27" s="1"/>
      <c r="B27" s="16" t="s">
        <v>56</v>
      </c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ht="17">
      <c r="A28" s="1"/>
      <c r="B28" s="17" t="s">
        <v>219</v>
      </c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ht="17">
      <c r="A29" s="1"/>
      <c r="B29" s="17" t="s">
        <v>220</v>
      </c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ht="17">
      <c r="A30" s="1"/>
      <c r="B30" s="18" t="s">
        <v>221</v>
      </c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 ht="17">
      <c r="A31" s="1"/>
      <c r="B31" s="18" t="s">
        <v>222</v>
      </c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 ht="17">
      <c r="A32" s="1"/>
      <c r="B32" s="18" t="s">
        <v>223</v>
      </c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 ht="17">
      <c r="A33" s="1"/>
      <c r="B33" s="17" t="s">
        <v>224</v>
      </c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 ht="19">
      <c r="A35" s="1"/>
      <c r="B35" s="19" t="s">
        <v>64</v>
      </c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>
      <c r="A36" s="1"/>
      <c r="B36" s="1" t="s">
        <v>225</v>
      </c>
      <c r="C36" s="20"/>
      <c r="D36" s="1"/>
      <c r="E36" s="1"/>
      <c r="F36" s="1"/>
      <c r="G36" s="1"/>
      <c r="H36" s="1"/>
      <c r="I36" s="1"/>
      <c r="J36" s="1"/>
      <c r="K36" s="1"/>
      <c r="L36" s="1"/>
    </row>
    <row r="37" spans="1:12" ht="17">
      <c r="A37" s="1"/>
      <c r="B37" s="1" t="s">
        <v>226</v>
      </c>
      <c r="C37" s="20"/>
      <c r="D37" s="1"/>
      <c r="E37" s="1"/>
      <c r="F37" s="1"/>
      <c r="G37" s="1"/>
      <c r="H37" s="1"/>
      <c r="I37" s="1"/>
      <c r="J37" s="1"/>
      <c r="K37" s="1"/>
      <c r="L37" s="1"/>
    </row>
    <row r="38" spans="1:12" ht="17">
      <c r="A38" s="1"/>
      <c r="B38" s="1" t="s">
        <v>227</v>
      </c>
      <c r="C38" s="20"/>
      <c r="D38" s="1"/>
      <c r="E38" s="1"/>
      <c r="F38" s="1"/>
      <c r="G38" s="1"/>
      <c r="H38" s="1"/>
      <c r="I38" s="1"/>
      <c r="J38" s="1"/>
      <c r="K38" s="1"/>
      <c r="L38" s="1"/>
    </row>
    <row r="39" spans="1:12" ht="17">
      <c r="A39" s="1"/>
      <c r="B39" s="10" t="s">
        <v>228</v>
      </c>
      <c r="C39" s="20"/>
      <c r="D39" s="1"/>
      <c r="E39" s="1"/>
      <c r="F39" s="1"/>
      <c r="G39" s="1"/>
      <c r="H39" s="1"/>
      <c r="I39" s="1"/>
      <c r="J39" s="1"/>
      <c r="K39" s="1"/>
      <c r="L39" s="1"/>
    </row>
    <row r="40" spans="1:1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</sheetData>
  <phoneticPr fontId="21"/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0AD47"/>
  </sheetPr>
  <dimension ref="A1:L60"/>
  <sheetViews>
    <sheetView zoomScaleNormal="100" workbookViewId="0"/>
  </sheetViews>
  <sheetFormatPr baseColWidth="10" defaultColWidth="9.5" defaultRowHeight="14"/>
  <cols>
    <col min="1" max="1" width="2.1640625" customWidth="1"/>
    <col min="2" max="3" width="15.1640625" customWidth="1"/>
  </cols>
  <sheetData>
    <row r="1" spans="1:12" ht="23">
      <c r="A1" s="1"/>
      <c r="B1" s="11" t="s">
        <v>229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1"/>
      <c r="B2" s="3" t="s">
        <v>41</v>
      </c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17">
      <c r="A4" s="1"/>
      <c r="B4" s="12" t="s">
        <v>42</v>
      </c>
      <c r="C4" s="12" t="s">
        <v>43</v>
      </c>
      <c r="D4" s="1"/>
      <c r="E4" s="1"/>
      <c r="F4" s="1"/>
      <c r="G4" s="1"/>
      <c r="H4" s="1"/>
      <c r="I4" s="1"/>
      <c r="J4" s="1"/>
      <c r="K4" s="1"/>
      <c r="L4" s="1"/>
    </row>
    <row r="5" spans="1:12" ht="17">
      <c r="A5" s="1"/>
      <c r="B5" s="7" t="s">
        <v>44</v>
      </c>
      <c r="C5" s="13">
        <v>4200</v>
      </c>
      <c r="D5" s="1"/>
      <c r="E5" s="1"/>
      <c r="F5" s="1"/>
      <c r="G5" s="1"/>
      <c r="H5" s="1"/>
      <c r="I5" s="1"/>
      <c r="J5" s="1"/>
      <c r="K5" s="1"/>
      <c r="L5" s="1"/>
    </row>
    <row r="6" spans="1:12" ht="17">
      <c r="A6" s="1"/>
      <c r="B6" s="7" t="s">
        <v>45</v>
      </c>
      <c r="C6" s="13">
        <v>3100</v>
      </c>
      <c r="D6" s="1"/>
      <c r="E6" s="1"/>
      <c r="F6" s="1"/>
      <c r="G6" s="1"/>
      <c r="H6" s="1"/>
      <c r="I6" s="1"/>
      <c r="J6" s="1"/>
      <c r="K6" s="1"/>
      <c r="L6" s="1"/>
    </row>
    <row r="7" spans="1:12" ht="17">
      <c r="A7" s="1"/>
      <c r="B7" s="7" t="s">
        <v>46</v>
      </c>
      <c r="C7" s="13">
        <v>8600</v>
      </c>
      <c r="D7" s="1"/>
      <c r="E7" s="1"/>
      <c r="F7" s="1"/>
      <c r="G7" s="1"/>
      <c r="H7" s="1"/>
      <c r="I7" s="1"/>
      <c r="J7" s="1"/>
      <c r="K7" s="1"/>
      <c r="L7" s="1"/>
    </row>
    <row r="8" spans="1:12" ht="17">
      <c r="A8" s="1"/>
      <c r="B8" s="7" t="s">
        <v>47</v>
      </c>
      <c r="C8" s="13">
        <v>5400</v>
      </c>
      <c r="D8" s="1"/>
      <c r="E8" s="1"/>
      <c r="F8" s="1"/>
      <c r="G8" s="1"/>
      <c r="H8" s="1"/>
      <c r="I8" s="1"/>
      <c r="J8" s="1"/>
      <c r="K8" s="1"/>
      <c r="L8" s="1"/>
    </row>
    <row r="9" spans="1:12" ht="17">
      <c r="A9" s="1"/>
      <c r="B9" s="7" t="s">
        <v>48</v>
      </c>
      <c r="C9" s="13">
        <v>7300</v>
      </c>
      <c r="D9" s="1"/>
      <c r="E9" s="1"/>
      <c r="F9" s="1"/>
      <c r="G9" s="1"/>
      <c r="H9" s="1"/>
      <c r="I9" s="1"/>
      <c r="J9" s="1"/>
      <c r="K9" s="1"/>
      <c r="L9" s="1"/>
    </row>
    <row r="10" spans="1:12" ht="17">
      <c r="A10" s="1"/>
      <c r="B10" s="7" t="s">
        <v>49</v>
      </c>
      <c r="C10" s="13">
        <v>3900</v>
      </c>
      <c r="D10" s="1"/>
      <c r="E10" s="1"/>
      <c r="F10" s="1"/>
      <c r="G10" s="1"/>
      <c r="H10" s="1"/>
      <c r="I10" s="1"/>
      <c r="J10" s="1"/>
      <c r="K10" s="1"/>
      <c r="L10" s="1"/>
    </row>
    <row r="11" spans="1:12" ht="17">
      <c r="A11" s="1"/>
      <c r="B11" s="14" t="s">
        <v>50</v>
      </c>
      <c r="C11" s="15">
        <f>SUM(C5:C10)</f>
        <v>32500</v>
      </c>
      <c r="D11" s="1"/>
      <c r="E11" s="1"/>
      <c r="F11" s="1"/>
      <c r="G11" s="1"/>
      <c r="H11" s="1"/>
      <c r="I11" s="1"/>
      <c r="J11" s="1"/>
      <c r="K11" s="1"/>
      <c r="L11" s="1"/>
    </row>
    <row r="12" spans="1: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</sheetData>
  <phoneticPr fontId="21"/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70AD47"/>
  </sheetPr>
  <dimension ref="A1:L60"/>
  <sheetViews>
    <sheetView zoomScaleNormal="100" workbookViewId="0"/>
  </sheetViews>
  <sheetFormatPr baseColWidth="10" defaultColWidth="9.5" defaultRowHeight="14"/>
  <cols>
    <col min="1" max="1" width="2.1640625" customWidth="1"/>
    <col min="2" max="4" width="15.1640625" customWidth="1"/>
  </cols>
  <sheetData>
    <row r="1" spans="1:12" ht="23">
      <c r="A1" s="1"/>
      <c r="B1" s="11" t="s">
        <v>230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1"/>
      <c r="B2" s="3" t="s">
        <v>41</v>
      </c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17">
      <c r="A4" s="1"/>
      <c r="B4" s="12" t="s">
        <v>69</v>
      </c>
      <c r="C4" s="12" t="s">
        <v>70</v>
      </c>
      <c r="D4" s="12" t="s">
        <v>71</v>
      </c>
      <c r="E4" s="1"/>
      <c r="F4" s="1"/>
      <c r="G4" s="1"/>
      <c r="H4" s="1"/>
      <c r="I4" s="1"/>
      <c r="J4" s="1"/>
      <c r="K4" s="1"/>
      <c r="L4" s="1"/>
    </row>
    <row r="5" spans="1:12" ht="17">
      <c r="A5" s="1"/>
      <c r="B5" s="21" t="s">
        <v>72</v>
      </c>
      <c r="C5" s="13">
        <v>120</v>
      </c>
      <c r="D5" s="13">
        <v>80</v>
      </c>
      <c r="E5" s="1"/>
      <c r="F5" s="1"/>
      <c r="G5" s="1"/>
      <c r="H5" s="1"/>
      <c r="I5" s="1"/>
      <c r="J5" s="1"/>
      <c r="K5" s="1"/>
      <c r="L5" s="1"/>
    </row>
    <row r="6" spans="1:12" ht="17">
      <c r="A6" s="1"/>
      <c r="B6" s="21" t="s">
        <v>73</v>
      </c>
      <c r="C6" s="13">
        <v>115</v>
      </c>
      <c r="D6" s="13">
        <v>95</v>
      </c>
      <c r="E6" s="1"/>
      <c r="F6" s="1"/>
      <c r="G6" s="1"/>
      <c r="H6" s="1"/>
      <c r="I6" s="1"/>
      <c r="J6" s="1"/>
      <c r="K6" s="1"/>
      <c r="L6" s="1"/>
    </row>
    <row r="7" spans="1:12" ht="17">
      <c r="A7" s="1"/>
      <c r="B7" s="21" t="s">
        <v>74</v>
      </c>
      <c r="C7" s="13">
        <v>140</v>
      </c>
      <c r="D7" s="13">
        <v>100</v>
      </c>
      <c r="E7" s="1"/>
      <c r="F7" s="1"/>
      <c r="G7" s="1"/>
      <c r="H7" s="1"/>
      <c r="I7" s="1"/>
      <c r="J7" s="1"/>
      <c r="K7" s="1"/>
      <c r="L7" s="1"/>
    </row>
    <row r="8" spans="1:12" ht="17">
      <c r="A8" s="1"/>
      <c r="B8" s="21" t="s">
        <v>75</v>
      </c>
      <c r="C8" s="13">
        <v>155</v>
      </c>
      <c r="D8" s="13">
        <v>110</v>
      </c>
      <c r="E8" s="1"/>
      <c r="F8" s="1"/>
      <c r="G8" s="1"/>
      <c r="H8" s="1"/>
      <c r="I8" s="1"/>
      <c r="J8" s="1"/>
      <c r="K8" s="1"/>
      <c r="L8" s="1"/>
    </row>
    <row r="9" spans="1:12" ht="17">
      <c r="A9" s="1"/>
      <c r="B9" s="21" t="s">
        <v>76</v>
      </c>
      <c r="C9" s="13">
        <v>170</v>
      </c>
      <c r="D9" s="13">
        <v>105</v>
      </c>
      <c r="E9" s="1"/>
      <c r="F9" s="1"/>
      <c r="G9" s="1"/>
      <c r="H9" s="1"/>
      <c r="I9" s="1"/>
      <c r="J9" s="1"/>
      <c r="K9" s="1"/>
      <c r="L9" s="1"/>
    </row>
    <row r="10" spans="1:12" ht="17">
      <c r="A10" s="1"/>
      <c r="B10" s="21" t="s">
        <v>77</v>
      </c>
      <c r="C10" s="13">
        <v>190</v>
      </c>
      <c r="D10" s="13">
        <v>120</v>
      </c>
      <c r="E10" s="1"/>
      <c r="F10" s="1"/>
      <c r="G10" s="1"/>
      <c r="H10" s="1"/>
      <c r="I10" s="1"/>
      <c r="J10" s="1"/>
      <c r="K10" s="1"/>
      <c r="L10" s="1"/>
    </row>
    <row r="11" spans="1:12" ht="17">
      <c r="A11" s="1"/>
      <c r="B11" s="21" t="s">
        <v>78</v>
      </c>
      <c r="C11" s="13">
        <v>230</v>
      </c>
      <c r="D11" s="13">
        <v>130</v>
      </c>
      <c r="E11" s="1"/>
      <c r="F11" s="1"/>
      <c r="G11" s="1"/>
      <c r="H11" s="1"/>
      <c r="I11" s="1"/>
      <c r="J11" s="1"/>
      <c r="K11" s="1"/>
      <c r="L11" s="1"/>
    </row>
    <row r="12" spans="1:12" ht="17">
      <c r="A12" s="1"/>
      <c r="B12" s="21" t="s">
        <v>79</v>
      </c>
      <c r="C12" s="13">
        <v>250</v>
      </c>
      <c r="D12" s="13">
        <v>125</v>
      </c>
      <c r="E12" s="1"/>
      <c r="F12" s="1"/>
      <c r="G12" s="1"/>
      <c r="H12" s="1"/>
      <c r="I12" s="1"/>
      <c r="J12" s="1"/>
      <c r="K12" s="1"/>
      <c r="L12" s="1"/>
    </row>
    <row r="13" spans="1:12" ht="17">
      <c r="A13" s="1"/>
      <c r="B13" s="21" t="s">
        <v>80</v>
      </c>
      <c r="C13" s="13">
        <v>200</v>
      </c>
      <c r="D13" s="13">
        <v>140</v>
      </c>
      <c r="E13" s="1"/>
      <c r="F13" s="1"/>
      <c r="G13" s="1"/>
      <c r="H13" s="1"/>
      <c r="I13" s="1"/>
      <c r="J13" s="1"/>
      <c r="K13" s="1"/>
      <c r="L13" s="1"/>
    </row>
    <row r="14" spans="1:12" ht="17">
      <c r="A14" s="1"/>
      <c r="B14" s="21" t="s">
        <v>81</v>
      </c>
      <c r="C14" s="13">
        <v>175</v>
      </c>
      <c r="D14" s="13">
        <v>150</v>
      </c>
      <c r="E14" s="1"/>
      <c r="F14" s="1"/>
      <c r="G14" s="1"/>
      <c r="H14" s="1"/>
      <c r="I14" s="1"/>
      <c r="J14" s="1"/>
      <c r="K14" s="1"/>
      <c r="L14" s="1"/>
    </row>
    <row r="15" spans="1:12" ht="17">
      <c r="A15" s="1"/>
      <c r="B15" s="21" t="s">
        <v>82</v>
      </c>
      <c r="C15" s="13">
        <v>160</v>
      </c>
      <c r="D15" s="13">
        <v>165</v>
      </c>
      <c r="E15" s="1"/>
      <c r="F15" s="1"/>
      <c r="G15" s="1"/>
      <c r="H15" s="1"/>
      <c r="I15" s="1"/>
      <c r="J15" s="1"/>
      <c r="K15" s="1"/>
      <c r="L15" s="1"/>
    </row>
    <row r="16" spans="1:12" ht="17">
      <c r="A16" s="1"/>
      <c r="B16" s="21" t="s">
        <v>83</v>
      </c>
      <c r="C16" s="13">
        <v>210</v>
      </c>
      <c r="D16" s="13">
        <v>180</v>
      </c>
      <c r="E16" s="1"/>
      <c r="F16" s="1"/>
      <c r="G16" s="1"/>
      <c r="H16" s="1"/>
      <c r="I16" s="1"/>
      <c r="J16" s="1"/>
      <c r="K16" s="1"/>
      <c r="L16" s="1"/>
    </row>
    <row r="17" spans="1:1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</sheetData>
  <phoneticPr fontId="21"/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70AD47"/>
  </sheetPr>
  <dimension ref="A1:L60"/>
  <sheetViews>
    <sheetView zoomScaleNormal="100" workbookViewId="0"/>
  </sheetViews>
  <sheetFormatPr baseColWidth="10" defaultColWidth="9.5" defaultRowHeight="14"/>
  <cols>
    <col min="1" max="1" width="2.1640625" customWidth="1"/>
    <col min="2" max="3" width="15.1640625" customWidth="1"/>
    <col min="4" max="4" width="13" customWidth="1"/>
  </cols>
  <sheetData>
    <row r="1" spans="1:12" ht="23">
      <c r="A1" s="1"/>
      <c r="B1" s="11" t="s">
        <v>231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1"/>
      <c r="B2" s="3" t="s">
        <v>41</v>
      </c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17">
      <c r="A4" s="1"/>
      <c r="B4" s="12" t="s">
        <v>98</v>
      </c>
      <c r="C4" s="12" t="s">
        <v>99</v>
      </c>
      <c r="D4" s="5" t="s">
        <v>100</v>
      </c>
      <c r="E4" s="1"/>
      <c r="F4" s="1"/>
      <c r="G4" s="1"/>
      <c r="H4" s="1"/>
      <c r="I4" s="1"/>
      <c r="J4" s="1"/>
      <c r="K4" s="1"/>
      <c r="L4" s="1"/>
    </row>
    <row r="5" spans="1:12" ht="17">
      <c r="A5" s="1"/>
      <c r="B5" s="7" t="s">
        <v>101</v>
      </c>
      <c r="C5" s="13">
        <v>4500</v>
      </c>
      <c r="D5" s="22">
        <f t="shared" ref="D5:D10" si="0">C5/SUM($C$5:$C$10)</f>
        <v>0.5</v>
      </c>
      <c r="E5" s="1"/>
      <c r="F5" s="1"/>
      <c r="G5" s="1"/>
      <c r="H5" s="1"/>
      <c r="I5" s="1"/>
      <c r="J5" s="1"/>
      <c r="K5" s="1"/>
      <c r="L5" s="1"/>
    </row>
    <row r="6" spans="1:12" ht="17">
      <c r="A6" s="1"/>
      <c r="B6" s="7" t="s">
        <v>102</v>
      </c>
      <c r="C6" s="13">
        <v>1800</v>
      </c>
      <c r="D6" s="22">
        <f t="shared" si="0"/>
        <v>0.2</v>
      </c>
      <c r="E6" s="1"/>
      <c r="F6" s="1"/>
      <c r="G6" s="1"/>
      <c r="H6" s="1"/>
      <c r="I6" s="1"/>
      <c r="J6" s="1"/>
      <c r="K6" s="1"/>
      <c r="L6" s="1"/>
    </row>
    <row r="7" spans="1:12" ht="17">
      <c r="A7" s="1"/>
      <c r="B7" s="7" t="s">
        <v>103</v>
      </c>
      <c r="C7" s="13">
        <v>1200</v>
      </c>
      <c r="D7" s="22">
        <f t="shared" si="0"/>
        <v>0.13333333333333333</v>
      </c>
      <c r="E7" s="1"/>
      <c r="F7" s="1"/>
      <c r="G7" s="1"/>
      <c r="H7" s="1"/>
      <c r="I7" s="1"/>
      <c r="J7" s="1"/>
      <c r="K7" s="1"/>
      <c r="L7" s="1"/>
    </row>
    <row r="8" spans="1:12" ht="17">
      <c r="A8" s="1"/>
      <c r="B8" s="7" t="s">
        <v>104</v>
      </c>
      <c r="C8" s="13">
        <v>600</v>
      </c>
      <c r="D8" s="22">
        <f t="shared" si="0"/>
        <v>6.6666666666666666E-2</v>
      </c>
      <c r="E8" s="1"/>
      <c r="F8" s="1"/>
      <c r="G8" s="1"/>
      <c r="H8" s="1"/>
      <c r="I8" s="1"/>
      <c r="J8" s="1"/>
      <c r="K8" s="1"/>
      <c r="L8" s="1"/>
    </row>
    <row r="9" spans="1:12" ht="17">
      <c r="A9" s="1"/>
      <c r="B9" s="7" t="s">
        <v>105</v>
      </c>
      <c r="C9" s="13">
        <v>400</v>
      </c>
      <c r="D9" s="22">
        <f t="shared" si="0"/>
        <v>4.4444444444444446E-2</v>
      </c>
      <c r="E9" s="1"/>
      <c r="F9" s="1"/>
      <c r="G9" s="1"/>
      <c r="H9" s="1"/>
      <c r="I9" s="1"/>
      <c r="J9" s="1"/>
      <c r="K9" s="1"/>
      <c r="L9" s="1"/>
    </row>
    <row r="10" spans="1:12" ht="17">
      <c r="A10" s="1"/>
      <c r="B10" s="7" t="s">
        <v>106</v>
      </c>
      <c r="C10" s="13">
        <v>500</v>
      </c>
      <c r="D10" s="22">
        <f t="shared" si="0"/>
        <v>5.5555555555555552E-2</v>
      </c>
      <c r="E10" s="1"/>
      <c r="F10" s="1"/>
      <c r="G10" s="1"/>
      <c r="H10" s="1"/>
      <c r="I10" s="1"/>
      <c r="J10" s="1"/>
      <c r="K10" s="1"/>
      <c r="L10" s="1"/>
    </row>
    <row r="11" spans="1:1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</sheetData>
  <phoneticPr fontId="21"/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70AD47"/>
  </sheetPr>
  <dimension ref="A1:L60"/>
  <sheetViews>
    <sheetView zoomScaleNormal="100" workbookViewId="0"/>
  </sheetViews>
  <sheetFormatPr baseColWidth="10" defaultColWidth="9.5" defaultRowHeight="14"/>
  <cols>
    <col min="1" max="1" width="2.1640625" customWidth="1"/>
    <col min="2" max="6" width="13" customWidth="1"/>
  </cols>
  <sheetData>
    <row r="1" spans="1:12" ht="23">
      <c r="A1" s="1"/>
      <c r="B1" s="11" t="s">
        <v>232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1"/>
      <c r="B2" s="3" t="s">
        <v>122</v>
      </c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>
      <c r="A4" s="1"/>
      <c r="B4" s="12" t="s">
        <v>123</v>
      </c>
      <c r="C4" s="12" t="s">
        <v>124</v>
      </c>
      <c r="D4" s="12" t="s">
        <v>125</v>
      </c>
      <c r="E4" s="12" t="s">
        <v>126</v>
      </c>
      <c r="F4" s="12" t="s">
        <v>127</v>
      </c>
      <c r="G4" s="1"/>
      <c r="H4" s="1"/>
      <c r="I4" s="1"/>
      <c r="J4" s="1"/>
      <c r="K4" s="1"/>
      <c r="L4" s="1"/>
    </row>
    <row r="5" spans="1:12" ht="17">
      <c r="A5" s="1"/>
      <c r="B5" s="7" t="s">
        <v>128</v>
      </c>
      <c r="C5" s="13">
        <v>320</v>
      </c>
      <c r="D5" s="13">
        <v>210</v>
      </c>
      <c r="E5" s="13">
        <v>150</v>
      </c>
      <c r="F5" s="13">
        <v>90</v>
      </c>
      <c r="G5" s="1"/>
      <c r="H5" s="1"/>
      <c r="I5" s="1"/>
      <c r="J5" s="1"/>
      <c r="K5" s="1"/>
      <c r="L5" s="1"/>
    </row>
    <row r="6" spans="1:12" ht="17">
      <c r="A6" s="1"/>
      <c r="B6" s="7" t="s">
        <v>129</v>
      </c>
      <c r="C6" s="13">
        <v>350</v>
      </c>
      <c r="D6" s="13">
        <v>240</v>
      </c>
      <c r="E6" s="13">
        <v>170</v>
      </c>
      <c r="F6" s="13">
        <v>110</v>
      </c>
      <c r="G6" s="1"/>
      <c r="H6" s="1"/>
      <c r="I6" s="1"/>
      <c r="J6" s="1"/>
      <c r="K6" s="1"/>
      <c r="L6" s="1"/>
    </row>
    <row r="7" spans="1:12" ht="17">
      <c r="A7" s="1"/>
      <c r="B7" s="7" t="s">
        <v>130</v>
      </c>
      <c r="C7" s="13">
        <v>300</v>
      </c>
      <c r="D7" s="13">
        <v>280</v>
      </c>
      <c r="E7" s="13">
        <v>200</v>
      </c>
      <c r="F7" s="13">
        <v>130</v>
      </c>
      <c r="G7" s="1"/>
      <c r="H7" s="1"/>
      <c r="I7" s="1"/>
      <c r="J7" s="1"/>
      <c r="K7" s="1"/>
      <c r="L7" s="1"/>
    </row>
    <row r="8" spans="1:12" ht="17">
      <c r="A8" s="1"/>
      <c r="B8" s="7" t="s">
        <v>131</v>
      </c>
      <c r="C8" s="13">
        <v>410</v>
      </c>
      <c r="D8" s="13">
        <v>300</v>
      </c>
      <c r="E8" s="13">
        <v>220</v>
      </c>
      <c r="F8" s="13">
        <v>160</v>
      </c>
      <c r="G8" s="1"/>
      <c r="H8" s="1"/>
      <c r="I8" s="1"/>
      <c r="J8" s="1"/>
      <c r="K8" s="1"/>
      <c r="L8" s="1"/>
    </row>
    <row r="9" spans="1:1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</sheetData>
  <phoneticPr fontId="21"/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70AD47"/>
  </sheetPr>
  <dimension ref="A1:L60"/>
  <sheetViews>
    <sheetView zoomScaleNormal="100" workbookViewId="0"/>
  </sheetViews>
  <sheetFormatPr baseColWidth="10" defaultColWidth="9.5" defaultRowHeight="14"/>
  <cols>
    <col min="1" max="1" width="2.1640625" customWidth="1"/>
    <col min="2" max="3" width="15.1640625" customWidth="1"/>
  </cols>
  <sheetData>
    <row r="1" spans="1:12" ht="23">
      <c r="A1" s="1"/>
      <c r="B1" s="11" t="s">
        <v>233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1"/>
      <c r="B2" s="3" t="s">
        <v>122</v>
      </c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>
      <c r="A4" s="1"/>
      <c r="B4" s="12" t="s">
        <v>146</v>
      </c>
      <c r="C4" s="12" t="s">
        <v>147</v>
      </c>
      <c r="D4" s="1"/>
      <c r="E4" s="1"/>
      <c r="F4" s="1"/>
      <c r="G4" s="1"/>
      <c r="H4" s="1"/>
      <c r="I4" s="1"/>
      <c r="J4" s="1"/>
      <c r="K4" s="1"/>
      <c r="L4" s="1"/>
    </row>
    <row r="5" spans="1:12" ht="17">
      <c r="A5" s="1"/>
      <c r="B5" s="7" t="s">
        <v>152</v>
      </c>
      <c r="C5" s="13">
        <v>310</v>
      </c>
      <c r="D5" s="1"/>
      <c r="E5" s="1"/>
      <c r="F5" s="1"/>
      <c r="G5" s="1"/>
      <c r="H5" s="1"/>
      <c r="I5" s="1"/>
      <c r="J5" s="1"/>
      <c r="K5" s="1"/>
      <c r="L5" s="1"/>
    </row>
    <row r="6" spans="1:12" ht="17">
      <c r="A6" s="1"/>
      <c r="B6" s="7" t="s">
        <v>154</v>
      </c>
      <c r="C6" s="13">
        <v>390</v>
      </c>
      <c r="D6" s="1"/>
      <c r="E6" s="1"/>
      <c r="F6" s="1"/>
      <c r="G6" s="1"/>
      <c r="H6" s="1"/>
      <c r="I6" s="1"/>
      <c r="J6" s="1"/>
      <c r="K6" s="1"/>
      <c r="L6" s="1"/>
    </row>
    <row r="7" spans="1:12" ht="17">
      <c r="A7" s="1"/>
      <c r="B7" s="7" t="s">
        <v>153</v>
      </c>
      <c r="C7" s="13">
        <v>450</v>
      </c>
      <c r="D7" s="1"/>
      <c r="E7" s="1"/>
      <c r="F7" s="1"/>
      <c r="G7" s="1"/>
      <c r="H7" s="1"/>
      <c r="I7" s="1"/>
      <c r="J7" s="1"/>
      <c r="K7" s="1"/>
      <c r="L7" s="1"/>
    </row>
    <row r="8" spans="1:12" ht="17">
      <c r="A8" s="1"/>
      <c r="B8" s="7" t="s">
        <v>150</v>
      </c>
      <c r="C8" s="13">
        <v>560</v>
      </c>
      <c r="D8" s="1"/>
      <c r="E8" s="1"/>
      <c r="F8" s="1"/>
      <c r="G8" s="1"/>
      <c r="H8" s="1"/>
      <c r="I8" s="1"/>
      <c r="J8" s="1"/>
      <c r="K8" s="1"/>
      <c r="L8" s="1"/>
    </row>
    <row r="9" spans="1:12" ht="17">
      <c r="A9" s="1"/>
      <c r="B9" s="7" t="s">
        <v>148</v>
      </c>
      <c r="C9" s="13">
        <v>820</v>
      </c>
      <c r="D9" s="1"/>
      <c r="E9" s="1"/>
      <c r="F9" s="1"/>
      <c r="G9" s="1"/>
      <c r="H9" s="1"/>
      <c r="I9" s="1"/>
      <c r="J9" s="1"/>
      <c r="K9" s="1"/>
      <c r="L9" s="1"/>
    </row>
    <row r="10" spans="1:12" ht="17">
      <c r="A10" s="1"/>
      <c r="B10" s="7" t="s">
        <v>151</v>
      </c>
      <c r="C10" s="13">
        <v>970</v>
      </c>
      <c r="D10" s="1"/>
      <c r="E10" s="1"/>
      <c r="F10" s="1"/>
      <c r="G10" s="1"/>
      <c r="H10" s="1"/>
      <c r="I10" s="1"/>
      <c r="J10" s="1"/>
      <c r="K10" s="1"/>
      <c r="L10" s="1"/>
    </row>
    <row r="11" spans="1:12" ht="17">
      <c r="A11" s="1"/>
      <c r="B11" s="7" t="s">
        <v>155</v>
      </c>
      <c r="C11" s="13">
        <v>1120</v>
      </c>
      <c r="D11" s="1"/>
      <c r="E11" s="1"/>
      <c r="F11" s="1"/>
      <c r="G11" s="1"/>
      <c r="H11" s="1"/>
      <c r="I11" s="1"/>
      <c r="J11" s="1"/>
      <c r="K11" s="1"/>
      <c r="L11" s="1"/>
    </row>
    <row r="12" spans="1:12" ht="17">
      <c r="A12" s="1"/>
      <c r="B12" s="7" t="s">
        <v>149</v>
      </c>
      <c r="C12" s="13">
        <v>1340</v>
      </c>
      <c r="D12" s="1"/>
      <c r="E12" s="1"/>
      <c r="F12" s="1"/>
      <c r="G12" s="1"/>
      <c r="H12" s="1"/>
      <c r="I12" s="1"/>
      <c r="J12" s="1"/>
      <c r="K12" s="1"/>
      <c r="L12" s="1"/>
    </row>
    <row r="13" spans="1:1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ht="17">
      <c r="A14" s="1"/>
      <c r="B14" s="26" t="s">
        <v>234</v>
      </c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</sheetData>
  <phoneticPr fontId="21"/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70AD47"/>
  </sheetPr>
  <dimension ref="A1:L60"/>
  <sheetViews>
    <sheetView zoomScaleNormal="100" workbookViewId="0"/>
  </sheetViews>
  <sheetFormatPr baseColWidth="10" defaultColWidth="9.5" defaultRowHeight="14"/>
  <cols>
    <col min="1" max="1" width="2.1640625" customWidth="1"/>
    <col min="2" max="5" width="14.1640625" customWidth="1"/>
  </cols>
  <sheetData>
    <row r="1" spans="1:12" ht="23">
      <c r="A1" s="1"/>
      <c r="B1" s="11" t="s">
        <v>235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1"/>
      <c r="B2" s="3" t="s">
        <v>168</v>
      </c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17">
      <c r="A4" s="1"/>
      <c r="B4" s="12" t="s">
        <v>169</v>
      </c>
      <c r="C4" s="12" t="s">
        <v>170</v>
      </c>
      <c r="D4" s="12" t="s">
        <v>171</v>
      </c>
      <c r="E4" s="12" t="s">
        <v>172</v>
      </c>
      <c r="F4" s="1"/>
      <c r="G4" s="1"/>
      <c r="H4" s="1"/>
      <c r="I4" s="1"/>
      <c r="J4" s="1"/>
      <c r="K4" s="1"/>
      <c r="L4" s="1"/>
    </row>
    <row r="5" spans="1:12" ht="17">
      <c r="A5" s="1"/>
      <c r="B5" s="21" t="s">
        <v>173</v>
      </c>
      <c r="C5" s="13">
        <v>5200</v>
      </c>
      <c r="D5" s="13">
        <v>312</v>
      </c>
      <c r="E5" s="22">
        <f t="shared" ref="E5:E10" si="0">D5/C5</f>
        <v>0.06</v>
      </c>
      <c r="F5" s="1"/>
      <c r="G5" s="1"/>
      <c r="H5" s="1"/>
      <c r="I5" s="1"/>
      <c r="J5" s="1"/>
      <c r="K5" s="1"/>
      <c r="L5" s="1"/>
    </row>
    <row r="6" spans="1:12" ht="17">
      <c r="A6" s="1"/>
      <c r="B6" s="21" t="s">
        <v>174</v>
      </c>
      <c r="C6" s="13">
        <v>5800</v>
      </c>
      <c r="D6" s="13">
        <v>406</v>
      </c>
      <c r="E6" s="22">
        <f t="shared" si="0"/>
        <v>7.0000000000000007E-2</v>
      </c>
      <c r="F6" s="1"/>
      <c r="G6" s="1"/>
      <c r="H6" s="1"/>
      <c r="I6" s="1"/>
      <c r="J6" s="1"/>
      <c r="K6" s="1"/>
      <c r="L6" s="1"/>
    </row>
    <row r="7" spans="1:12" ht="17">
      <c r="A7" s="1"/>
      <c r="B7" s="21" t="s">
        <v>175</v>
      </c>
      <c r="C7" s="13">
        <v>6100</v>
      </c>
      <c r="D7" s="13">
        <v>366</v>
      </c>
      <c r="E7" s="22">
        <f t="shared" si="0"/>
        <v>0.06</v>
      </c>
      <c r="F7" s="1"/>
      <c r="G7" s="1"/>
      <c r="H7" s="1"/>
      <c r="I7" s="1"/>
      <c r="J7" s="1"/>
      <c r="K7" s="1"/>
      <c r="L7" s="1"/>
    </row>
    <row r="8" spans="1:12" ht="17">
      <c r="A8" s="1"/>
      <c r="B8" s="21" t="s">
        <v>176</v>
      </c>
      <c r="C8" s="13">
        <v>6900</v>
      </c>
      <c r="D8" s="13">
        <v>552</v>
      </c>
      <c r="E8" s="22">
        <f t="shared" si="0"/>
        <v>0.08</v>
      </c>
      <c r="F8" s="1"/>
      <c r="G8" s="1"/>
      <c r="H8" s="1"/>
      <c r="I8" s="1"/>
      <c r="J8" s="1"/>
      <c r="K8" s="1"/>
      <c r="L8" s="1"/>
    </row>
    <row r="9" spans="1:12" ht="17">
      <c r="A9" s="1"/>
      <c r="B9" s="21" t="s">
        <v>177</v>
      </c>
      <c r="C9" s="13">
        <v>7400</v>
      </c>
      <c r="D9" s="13">
        <v>666</v>
      </c>
      <c r="E9" s="22">
        <f t="shared" si="0"/>
        <v>0.09</v>
      </c>
      <c r="F9" s="1"/>
      <c r="G9" s="1"/>
      <c r="H9" s="1"/>
      <c r="I9" s="1"/>
      <c r="J9" s="1"/>
      <c r="K9" s="1"/>
      <c r="L9" s="1"/>
    </row>
    <row r="10" spans="1:12" ht="17">
      <c r="A10" s="1"/>
      <c r="B10" s="21" t="s">
        <v>178</v>
      </c>
      <c r="C10" s="13">
        <v>8200</v>
      </c>
      <c r="D10" s="13">
        <v>820</v>
      </c>
      <c r="E10" s="22">
        <f t="shared" si="0"/>
        <v>0.1</v>
      </c>
      <c r="F10" s="1"/>
      <c r="G10" s="1"/>
      <c r="H10" s="1"/>
      <c r="I10" s="1"/>
      <c r="J10" s="1"/>
      <c r="K10" s="1"/>
      <c r="L10" s="1"/>
    </row>
    <row r="11" spans="1:1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</sheetData>
  <phoneticPr fontId="21"/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70AD47"/>
  </sheetPr>
  <dimension ref="A1:L60"/>
  <sheetViews>
    <sheetView zoomScaleNormal="100" workbookViewId="0"/>
  </sheetViews>
  <sheetFormatPr baseColWidth="10" defaultColWidth="9.5" defaultRowHeight="14"/>
  <cols>
    <col min="1" max="1" width="2.1640625" customWidth="1"/>
    <col min="2" max="4" width="15.1640625" customWidth="1"/>
  </cols>
  <sheetData>
    <row r="1" spans="1:12" ht="23">
      <c r="A1" s="1"/>
      <c r="B1" s="11" t="s">
        <v>236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1"/>
      <c r="B2" s="3" t="s">
        <v>168</v>
      </c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17">
      <c r="A4" s="1"/>
      <c r="B4" s="12" t="s">
        <v>197</v>
      </c>
      <c r="C4" s="12" t="s">
        <v>198</v>
      </c>
      <c r="D4" s="12" t="s">
        <v>199</v>
      </c>
      <c r="E4" s="1"/>
      <c r="F4" s="1"/>
      <c r="G4" s="1"/>
      <c r="H4" s="1"/>
      <c r="I4" s="1"/>
      <c r="J4" s="1"/>
      <c r="K4" s="1"/>
      <c r="L4" s="1"/>
    </row>
    <row r="5" spans="1:12" ht="17">
      <c r="A5" s="1"/>
      <c r="B5" s="7" t="s">
        <v>200</v>
      </c>
      <c r="C5" s="13">
        <v>10</v>
      </c>
      <c r="D5" s="13">
        <v>180</v>
      </c>
      <c r="E5" s="1"/>
      <c r="F5" s="1"/>
      <c r="G5" s="1"/>
      <c r="H5" s="1"/>
      <c r="I5" s="1"/>
      <c r="J5" s="1"/>
      <c r="K5" s="1"/>
      <c r="L5" s="1"/>
    </row>
    <row r="6" spans="1:12" ht="17">
      <c r="A6" s="1"/>
      <c r="B6" s="7" t="s">
        <v>201</v>
      </c>
      <c r="C6" s="13">
        <v>15</v>
      </c>
      <c r="D6" s="13">
        <v>210</v>
      </c>
      <c r="E6" s="1"/>
      <c r="F6" s="1"/>
      <c r="G6" s="1"/>
      <c r="H6" s="1"/>
      <c r="I6" s="1"/>
      <c r="J6" s="1"/>
      <c r="K6" s="1"/>
      <c r="L6" s="1"/>
    </row>
    <row r="7" spans="1:12" ht="17">
      <c r="A7" s="1"/>
      <c r="B7" s="7" t="s">
        <v>202</v>
      </c>
      <c r="C7" s="13">
        <v>20</v>
      </c>
      <c r="D7" s="13">
        <v>260</v>
      </c>
      <c r="E7" s="1"/>
      <c r="F7" s="1"/>
      <c r="G7" s="1"/>
      <c r="H7" s="1"/>
      <c r="I7" s="1"/>
      <c r="J7" s="1"/>
      <c r="K7" s="1"/>
      <c r="L7" s="1"/>
    </row>
    <row r="8" spans="1:12" ht="17">
      <c r="A8" s="1"/>
      <c r="B8" s="7" t="s">
        <v>203</v>
      </c>
      <c r="C8" s="13">
        <v>25</v>
      </c>
      <c r="D8" s="13">
        <v>270</v>
      </c>
      <c r="E8" s="1"/>
      <c r="F8" s="1"/>
      <c r="G8" s="1"/>
      <c r="H8" s="1"/>
      <c r="I8" s="1"/>
      <c r="J8" s="1"/>
      <c r="K8" s="1"/>
      <c r="L8" s="1"/>
    </row>
    <row r="9" spans="1:12" ht="17">
      <c r="A9" s="1"/>
      <c r="B9" s="7" t="s">
        <v>204</v>
      </c>
      <c r="C9" s="13">
        <v>30</v>
      </c>
      <c r="D9" s="13">
        <v>320</v>
      </c>
      <c r="E9" s="1"/>
      <c r="F9" s="1"/>
      <c r="G9" s="1"/>
      <c r="H9" s="1"/>
      <c r="I9" s="1"/>
      <c r="J9" s="1"/>
      <c r="K9" s="1"/>
      <c r="L9" s="1"/>
    </row>
    <row r="10" spans="1:12" ht="17">
      <c r="A10" s="1"/>
      <c r="B10" s="7" t="s">
        <v>205</v>
      </c>
      <c r="C10" s="13">
        <v>35</v>
      </c>
      <c r="D10" s="13">
        <v>330</v>
      </c>
      <c r="E10" s="1"/>
      <c r="F10" s="1"/>
      <c r="G10" s="1"/>
      <c r="H10" s="1"/>
      <c r="I10" s="1"/>
      <c r="J10" s="1"/>
      <c r="K10" s="1"/>
      <c r="L10" s="1"/>
    </row>
    <row r="11" spans="1:12" ht="17">
      <c r="A11" s="1"/>
      <c r="B11" s="7" t="s">
        <v>206</v>
      </c>
      <c r="C11" s="13">
        <v>40</v>
      </c>
      <c r="D11" s="13">
        <v>390</v>
      </c>
      <c r="E11" s="1"/>
      <c r="F11" s="1"/>
      <c r="G11" s="1"/>
      <c r="H11" s="1"/>
      <c r="I11" s="1"/>
      <c r="J11" s="1"/>
      <c r="K11" s="1"/>
      <c r="L11" s="1"/>
    </row>
    <row r="12" spans="1:12" ht="17">
      <c r="A12" s="1"/>
      <c r="B12" s="7" t="s">
        <v>207</v>
      </c>
      <c r="C12" s="13">
        <v>45</v>
      </c>
      <c r="D12" s="13">
        <v>400</v>
      </c>
      <c r="E12" s="1"/>
      <c r="F12" s="1"/>
      <c r="G12" s="1"/>
      <c r="H12" s="1"/>
      <c r="I12" s="1"/>
      <c r="J12" s="1"/>
      <c r="K12" s="1"/>
      <c r="L12" s="1"/>
    </row>
    <row r="13" spans="1:12" ht="17">
      <c r="A13" s="1"/>
      <c r="B13" s="7" t="s">
        <v>208</v>
      </c>
      <c r="C13" s="13">
        <v>50</v>
      </c>
      <c r="D13" s="13">
        <v>450</v>
      </c>
      <c r="E13" s="1"/>
      <c r="F13" s="1"/>
      <c r="G13" s="1"/>
      <c r="H13" s="1"/>
      <c r="I13" s="1"/>
      <c r="J13" s="1"/>
      <c r="K13" s="1"/>
      <c r="L13" s="1"/>
    </row>
    <row r="14" spans="1:12" ht="17">
      <c r="A14" s="1"/>
      <c r="B14" s="7" t="s">
        <v>209</v>
      </c>
      <c r="C14" s="13">
        <v>55</v>
      </c>
      <c r="D14" s="13">
        <v>470</v>
      </c>
      <c r="E14" s="1"/>
      <c r="F14" s="1"/>
      <c r="G14" s="1"/>
      <c r="H14" s="1"/>
      <c r="I14" s="1"/>
      <c r="J14" s="1"/>
      <c r="K14" s="1"/>
      <c r="L14" s="1"/>
    </row>
    <row r="15" spans="1:12" ht="17">
      <c r="A15" s="1"/>
      <c r="B15" s="7" t="s">
        <v>210</v>
      </c>
      <c r="C15" s="13">
        <v>60</v>
      </c>
      <c r="D15" s="13">
        <v>500</v>
      </c>
      <c r="E15" s="1"/>
      <c r="F15" s="1"/>
      <c r="G15" s="1"/>
      <c r="H15" s="1"/>
      <c r="I15" s="1"/>
      <c r="J15" s="1"/>
      <c r="K15" s="1"/>
      <c r="L15" s="1"/>
    </row>
    <row r="16" spans="1:12" ht="17">
      <c r="A16" s="1"/>
      <c r="B16" s="7" t="s">
        <v>211</v>
      </c>
      <c r="C16" s="13">
        <v>65</v>
      </c>
      <c r="D16" s="13">
        <v>540</v>
      </c>
      <c r="E16" s="1"/>
      <c r="F16" s="1"/>
      <c r="G16" s="1"/>
      <c r="H16" s="1"/>
      <c r="I16" s="1"/>
      <c r="J16" s="1"/>
      <c r="K16" s="1"/>
      <c r="L16" s="1"/>
    </row>
    <row r="17" spans="1:1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ht="17">
      <c r="A18" s="1"/>
      <c r="B18" s="14" t="s">
        <v>212</v>
      </c>
      <c r="C18" s="23">
        <f>CORREL(C5:C16,D5:D16)</f>
        <v>0.99687106514144286</v>
      </c>
      <c r="D18" s="1"/>
      <c r="E18" s="1"/>
      <c r="F18" s="1"/>
      <c r="G18" s="1"/>
      <c r="H18" s="1"/>
      <c r="I18" s="1"/>
      <c r="J18" s="1"/>
      <c r="K18" s="1"/>
      <c r="L18" s="1"/>
    </row>
    <row r="19" spans="1:12" ht="17">
      <c r="A19" s="1"/>
      <c r="B19" s="14" t="s">
        <v>213</v>
      </c>
      <c r="C19" s="24">
        <f>SLOPE(D5:D16,C5:C16)</f>
        <v>6.4615384615384617</v>
      </c>
      <c r="D19" s="1"/>
      <c r="E19" s="1"/>
      <c r="F19" s="1"/>
      <c r="G19" s="1"/>
      <c r="H19" s="1"/>
      <c r="I19" s="1"/>
      <c r="J19" s="1"/>
      <c r="K19" s="1"/>
      <c r="L19" s="1"/>
    </row>
    <row r="20" spans="1:12" ht="17">
      <c r="A20" s="1"/>
      <c r="B20" s="14" t="s">
        <v>214</v>
      </c>
      <c r="C20" s="25">
        <f>INTERCEPT(D5:D16,C5:C16)</f>
        <v>117.69230769230768</v>
      </c>
      <c r="D20" s="1"/>
      <c r="E20" s="1"/>
      <c r="F20" s="1"/>
      <c r="G20" s="1"/>
      <c r="H20" s="1"/>
      <c r="I20" s="1"/>
      <c r="J20" s="1"/>
      <c r="K20" s="1"/>
      <c r="L20" s="1"/>
    </row>
    <row r="21" spans="1:1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</sheetData>
  <phoneticPr fontId="21"/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15</vt:i4>
      </vt:variant>
    </vt:vector>
  </HeadingPairs>
  <TitlesOfParts>
    <vt:vector size="15" baseType="lpstr">
      <vt:lpstr>目次</vt:lpstr>
      <vt:lpstr>問題1</vt:lpstr>
      <vt:lpstr>問題2</vt:lpstr>
      <vt:lpstr>問題3</vt:lpstr>
      <vt:lpstr>問題4</vt:lpstr>
      <vt:lpstr>問題5</vt:lpstr>
      <vt:lpstr>問題6</vt:lpstr>
      <vt:lpstr>問題7</vt:lpstr>
      <vt:lpstr>解答1</vt:lpstr>
      <vt:lpstr>解答2</vt:lpstr>
      <vt:lpstr>解答3</vt:lpstr>
      <vt:lpstr>解答4</vt:lpstr>
      <vt:lpstr>解答5</vt:lpstr>
      <vt:lpstr>解答6</vt:lpstr>
      <vt:lpstr>解答7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ikenoharuhiko</cp:lastModifiedBy>
  <cp:revision>1</cp:revision>
  <dcterms:created xsi:type="dcterms:W3CDTF">2026-09-23T09:11:40Z</dcterms:created>
  <dcterms:modified xsi:type="dcterms:W3CDTF">2026-09-23T09:37:15Z</dcterms:modified>
  <dc:language>ja-JP</dc:language>
</cp:coreProperties>
</file>